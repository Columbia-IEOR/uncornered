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w Networks" sheetId="1" state="visible" r:id="rId1"/>
    <sheet xmlns:r="http://schemas.openxmlformats.org/officeDocument/2006/relationships" name="Individuals" sheetId="2" state="visible" r:id="rId2"/>
    <sheet xmlns:r="http://schemas.openxmlformats.org/officeDocument/2006/relationships" name="Incid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7B24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9" customWidth="1" min="1" max="1"/>
    <col width="10" customWidth="1" min="2" max="2"/>
    <col width="23.1" customWidth="1" min="3" max="3"/>
    <col width="10" customWidth="1" min="4" max="4"/>
    <col width="11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20.9" customWidth="1" min="11" max="11"/>
    <col width="13.2" customWidth="1" min="12" max="12"/>
    <col width="40" customWidth="1" min="13" max="13"/>
    <col width="19.8" customWidth="1" min="14" max="14"/>
  </cols>
  <sheetData>
    <row r="1" ht="30" customHeight="1">
      <c r="A1" s="1" t="inlineStr">
        <is>
          <t>Date Created</t>
        </is>
      </c>
      <c r="B1" s="1" t="inlineStr">
        <is>
          <t>ID</t>
        </is>
      </c>
      <c r="C1" s="1" t="inlineStr">
        <is>
          <t>Crew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Catalysts</t>
        </is>
      </c>
      <c r="G1" s="1" t="inlineStr">
        <is>
          <t>Date of Enrollment</t>
        </is>
      </c>
      <c r="H1" s="1" t="inlineStr">
        <is>
          <t>Catalyst Status</t>
        </is>
      </c>
      <c r="I1" s="1" t="inlineStr">
        <is>
          <t>Catalyst Type</t>
        </is>
      </c>
      <c r="J1" s="1" t="inlineStr">
        <is>
          <t>Assigned to</t>
        </is>
      </c>
      <c r="K1" s="1" t="inlineStr">
        <is>
          <t>Catalyst Network</t>
        </is>
      </c>
      <c r="L1" s="1" t="inlineStr">
        <is>
          <t>Affiliations</t>
        </is>
      </c>
      <c r="M1" s="1" t="inlineStr">
        <is>
          <t>Conflicts w Other Crews</t>
        </is>
      </c>
      <c r="N1" s="1" t="inlineStr">
        <is>
          <t>Conflicts Reported</t>
        </is>
      </c>
    </row>
    <row r="2" ht="126" customHeight="1">
      <c r="A2" s="2" t="inlineStr">
        <is>
          <t>2019-04-19 00:00:00</t>
        </is>
      </c>
      <c r="B2" s="2" t="n">
        <v>39871</v>
      </c>
      <c r="C2" s="2" t="inlineStr">
        <is>
          <t>Prospect Hill Boys</t>
        </is>
      </c>
      <c r="D2" s="2" t="n">
        <v>39.087831</v>
      </c>
      <c r="E2" s="2" t="n">
        <v>-94.57114799999999</v>
      </c>
      <c r="F2" s="2" t="inlineStr">
        <is>
          <t>Jordan Williams
Cortez Anderson
Antoine Harris
Kevin Green
Jordan King
Cortez Walker
Tyrell Hall
Carlos Johnson
DeShawn Jackson</t>
        </is>
      </c>
      <c r="G2" s="2" t="inlineStr">
        <is>
          <t>14-Jun-2021 00:00:00
10-Aug-2021 00:00:00
31-Aug-2024 00:00:00
01-Oct-2025 00:00:00
19-Apr-2019 00:00:00
17-Apr-2025 00:00:00
25-Mar-2021 00:00:00
10-Feb-2025 00:00:00
15-Sep-2023 00:00:00</t>
        </is>
      </c>
      <c r="H2" s="2" t="inlineStr">
        <is>
          <t>Inactive
Pending Review
Inactive (missing history)
Active
Inactive
Pending Review
Inactive (missing history)
Inactive (missing history)
Inactive</t>
        </is>
      </c>
      <c r="I2" s="2" t="inlineStr">
        <is>
          <t>Network
Outreach
Stipend
Stipend
Mentor
Stipend
Outreach
Outreach
Outreach</t>
        </is>
      </c>
      <c r="J2" s="2" t="inlineStr">
        <is>
          <t>Sandra Powell
Greg Haines
Nadia Freeman
Sandra Powell
Greg Haines
Sandra Powell
Nadia Freeman
Latasha Rivera
Nadia Freeman</t>
        </is>
      </c>
      <c r="K2" s="2" t="inlineStr">
        <is>
          <t>Prospect Initiative</t>
        </is>
      </c>
      <c r="L2" s="2" t="inlineStr">
        <is>
          <t>5150</t>
        </is>
      </c>
      <c r="M2" s="2" t="inlineStr">
        <is>
          <t>Westside Locos
Northeast Bloc
East Paseo Set</t>
        </is>
      </c>
      <c r="N2" s="2" t="n">
        <v>3</v>
      </c>
    </row>
    <row r="3" ht="140" customHeight="1">
      <c r="A3" s="2" t="inlineStr">
        <is>
          <t>2019-08-18 00:00:00</t>
        </is>
      </c>
      <c r="B3" s="2" t="n">
        <v>82512</v>
      </c>
      <c r="C3" s="2" t="inlineStr">
        <is>
          <t>East Paseo Set</t>
        </is>
      </c>
      <c r="D3" s="2" t="n">
        <v>39.063808</v>
      </c>
      <c r="E3" s="2" t="n">
        <v>-94.552885</v>
      </c>
      <c r="F3" s="2" t="inlineStr">
        <is>
          <t>Jordan White
Jamal Wilson
Tavian Martin
Darnell Martin
Trevon Smith
Rodney Anderson
Kelvin King
Tavian Jackson
Elijah Young
Darnell Walker</t>
        </is>
      </c>
      <c r="G3" s="2" t="inlineStr">
        <is>
          <t>29-Sep-2021 00:00:00
31-Oct-2020 00:00:00
08-Mar-2024 00:00:00
04-Apr-2023 00:00:00
10-Jan-2022 00:00:00
31-Mar-2025 00:00:00
18-Jun-2021 00:00:00
21-Aug-2022 00:00:00
18-Aug-2019 00:00:00
27-Jul-2021 00:00:00</t>
        </is>
      </c>
      <c r="H3" s="2" t="inlineStr">
        <is>
          <t>Active
Inactive (missing history)
Pending Review
Inactive (missing history)
Active
Inactive
Inactive (missing history)
Inactive
Pending Review
Pending Review</t>
        </is>
      </c>
      <c r="I3" s="2" t="inlineStr">
        <is>
          <t>Mentor
Network
Outreach
Network
Network
Outreach
Mentor
Mentor
Outreach
Network</t>
        </is>
      </c>
      <c r="J3" s="2" t="inlineStr">
        <is>
          <t>Mike Okafor
Nadia Freeman
Greg Haines
Sandra Powell
Sandra Powell
Sandra Powell
Mike Okafor
Mike Okafor
Greg Haines
Nadia Freeman</t>
        </is>
      </c>
      <c r="K3" s="2" t="inlineStr">
        <is>
          <t>GVI KC</t>
        </is>
      </c>
      <c r="L3" s="2" t="inlineStr">
        <is>
          <t>Bloods
GD</t>
        </is>
      </c>
      <c r="M3" s="2" t="inlineStr">
        <is>
          <t>Blue Hills Network
Swope Park Riders</t>
        </is>
      </c>
      <c r="N3" s="2" t="n">
        <v>11</v>
      </c>
    </row>
    <row r="4" ht="56" customHeight="1">
      <c r="A4" s="2" t="inlineStr">
        <is>
          <t>2019-01-14 00:00:00</t>
        </is>
      </c>
      <c r="B4" s="2" t="n">
        <v>41571</v>
      </c>
      <c r="C4" s="2" t="inlineStr">
        <is>
          <t>Westside Locos</t>
        </is>
      </c>
      <c r="D4" s="2" t="n">
        <v>39.10588</v>
      </c>
      <c r="E4" s="2" t="n">
        <v>-94.626531</v>
      </c>
      <c r="F4" s="2" t="inlineStr">
        <is>
          <t>Rodney Walker
Jamal Young
Lamar Davis
Darius Thompson</t>
        </is>
      </c>
      <c r="G4" s="2" t="inlineStr">
        <is>
          <t>09-Oct-2020 00:00:00
02-Feb-2024 00:00:00
14-Jan-2019 00:00:00
14-Dec-2021 00:00:00</t>
        </is>
      </c>
      <c r="H4" s="2" t="inlineStr">
        <is>
          <t>Inactive
Active
Inactive (missing history)
Inactive</t>
        </is>
      </c>
      <c r="I4" s="2" t="inlineStr">
        <is>
          <t>Network
Outreach
Network
Stipend</t>
        </is>
      </c>
      <c r="J4" s="2" t="inlineStr">
        <is>
          <t>Nadia Freeman
Latasha Rivera
Greg Haines
Sandra Powell</t>
        </is>
      </c>
      <c r="K4" s="2" t="inlineStr">
        <is>
          <t>GVI KC</t>
        </is>
      </c>
      <c r="L4" s="2" t="inlineStr">
        <is>
          <t>CVE</t>
        </is>
      </c>
      <c r="M4" s="2" t="inlineStr">
        <is>
          <t>Ruskin Heights Clique
Troost Ave Crew</t>
        </is>
      </c>
      <c r="N4" s="2" t="n">
        <v>1</v>
      </c>
    </row>
    <row r="5" ht="126" customHeight="1">
      <c r="A5" s="2" t="inlineStr">
        <is>
          <t>2020-05-10 00:00:00</t>
        </is>
      </c>
      <c r="B5" s="2" t="n">
        <v>17100</v>
      </c>
      <c r="C5" s="2" t="inlineStr">
        <is>
          <t>Troost Ave Crew</t>
        </is>
      </c>
      <c r="D5" s="2" t="n">
        <v>39.072934</v>
      </c>
      <c r="E5" s="2" t="n">
        <v>-94.556158</v>
      </c>
      <c r="F5" s="2" t="inlineStr">
        <is>
          <t>Dominique Jackson
Terrence Brown
Kevin King
Dominique Walker
Darnell Anderson
Shaquille Allen
Carlos Smith
Terrence Green
Kelvin Smith</t>
        </is>
      </c>
      <c r="G5" s="2" t="inlineStr">
        <is>
          <t>30-Jun-2022 00:00:00
23-Jun-2023 00:00:00
10-Mar-2023 00:00:00
30-Nov-2023 00:00:00
20-Oct-2024 00:00:00
24-Jan-2024 00:00:00
10-May-2020 00:00:00
12-Oct-2021 00:00:00
09-Jul-2021 00:00:00</t>
        </is>
      </c>
      <c r="H5" s="2" t="inlineStr">
        <is>
          <t>Active
Inactive (missing history)
Active
Inactive
Inactive
Active
Active
Active
Inactive</t>
        </is>
      </c>
      <c r="I5" s="2" t="inlineStr">
        <is>
          <t>Stipend
Stipend
Outreach
Stipend
Network
Outreach
Mentor
Network
Network</t>
        </is>
      </c>
      <c r="J5" s="2" t="inlineStr">
        <is>
          <t>Nadia Freeman
Nadia Freeman
Greg Haines
Mike Okafor
Greg Haines
Greg Haines
Mike Okafor
Sandra Powell
Sandra Powell</t>
        </is>
      </c>
      <c r="K5" s="2" t="inlineStr">
        <is>
          <t>Blue Hills Outreach</t>
        </is>
      </c>
      <c r="L5" s="2" t="inlineStr">
        <is>
          <t>None
5150</t>
        </is>
      </c>
      <c r="M5" s="2" t="inlineStr">
        <is>
          <t>Blue Hills Network
Ruskin Heights Clique</t>
        </is>
      </c>
      <c r="N5" s="2" t="n">
        <v>1</v>
      </c>
    </row>
    <row r="6" ht="56" customHeight="1">
      <c r="A6" s="2" t="inlineStr">
        <is>
          <t>2020-07-28 00:00:00</t>
        </is>
      </c>
      <c r="B6" s="2" t="n">
        <v>59672</v>
      </c>
      <c r="C6" s="2" t="inlineStr">
        <is>
          <t>Blue Hills Network</t>
        </is>
      </c>
      <c r="D6" s="2" t="n">
        <v>39.016522</v>
      </c>
      <c r="E6" s="2" t="n">
        <v>-94.554096</v>
      </c>
      <c r="F6" s="2" t="inlineStr">
        <is>
          <t>Brandon Green
Lamar Davis
Antoine Smith
Malik Walker</t>
        </is>
      </c>
      <c r="G6" s="2" t="inlineStr">
        <is>
          <t>12-Jan-2024 00:00:00
28-Jul-2020 00:00:00
25-Sep-2023 00:00:00
21-Jan-2021 00:00:00</t>
        </is>
      </c>
      <c r="H6" s="2" t="inlineStr">
        <is>
          <t>Inactive (missing history)
Pending Review
Inactive
Active</t>
        </is>
      </c>
      <c r="I6" s="2" t="inlineStr">
        <is>
          <t>Mentor
Stipend
Stipend
Stipend</t>
        </is>
      </c>
      <c r="J6" s="2" t="inlineStr">
        <is>
          <t>Sandra Powell
Mike Okafor
Mike Okafor
Greg Haines</t>
        </is>
      </c>
      <c r="K6" s="2" t="inlineStr">
        <is>
          <t>Blue Hills Outreach</t>
        </is>
      </c>
      <c r="L6" s="2" t="inlineStr">
        <is>
          <t>BGF</t>
        </is>
      </c>
      <c r="M6" s="2" t="inlineStr">
        <is>
          <t>East Paseo Set
Troost Ave Crew</t>
        </is>
      </c>
      <c r="N6" s="2" t="n">
        <v>12</v>
      </c>
    </row>
    <row r="7" ht="140" customHeight="1">
      <c r="A7" s="2" t="inlineStr">
        <is>
          <t>2019-07-25 00:00:00</t>
        </is>
      </c>
      <c r="B7" s="2" t="n">
        <v>58434</v>
      </c>
      <c r="C7" s="2" t="inlineStr">
        <is>
          <t>Swope Park Riders</t>
        </is>
      </c>
      <c r="D7" s="2" t="n">
        <v>38.99535</v>
      </c>
      <c r="E7" s="2" t="n">
        <v>-94.53461799999999</v>
      </c>
      <c r="F7" s="2" t="inlineStr">
        <is>
          <t>Rafael Thomas
Carlos Scott
Cortez Walker
Rodney Scott
Dominique Brown
Malik Thomas
Malik Johnson
Reggie Green
Terrence Johnson
Cortez Moore</t>
        </is>
      </c>
      <c r="G7" s="2" t="inlineStr">
        <is>
          <t>23-Aug-2019 00:00:00
25-Jul-2019 00:00:00
20-Jul-2025 00:00:00
06-May-2024 00:00:00
21-Aug-2024 00:00:00
15-Dec-2024 00:00:00
06-Oct-2020 00:00:00
21-Aug-2019 00:00:00
11-Sep-2024 00:00:00
25-Nov-2019 00:00:00</t>
        </is>
      </c>
      <c r="H7" s="2" t="inlineStr">
        <is>
          <t>Inactive
Active
Active
Inactive
Pending Review
Active
Inactive
Active
Active
Pending Review</t>
        </is>
      </c>
      <c r="I7" s="2" t="inlineStr">
        <is>
          <t>Outreach
Outreach
Network
Outreach
Network
Outreach
Mentor
Network
Outreach
Mentor</t>
        </is>
      </c>
      <c r="J7" s="2" t="inlineStr">
        <is>
          <t>Latasha Rivera
Sandra Powell
Sandra Powell
Greg Haines
Nadia Freeman
Nadia Freeman
Sandra Powell
Sandra Powell
Nadia Freeman
Mike Okafor</t>
        </is>
      </c>
      <c r="K7" s="2" t="inlineStr">
        <is>
          <t>REENTRY KC</t>
        </is>
      </c>
      <c r="L7" s="2" t="inlineStr">
        <is>
          <t>BGF</t>
        </is>
      </c>
      <c r="M7" s="2" t="inlineStr">
        <is>
          <t>East Paseo Set
Westside Locos</t>
        </is>
      </c>
      <c r="N7" s="2" t="n">
        <v>8</v>
      </c>
    </row>
    <row r="8" ht="126" customHeight="1">
      <c r="A8" s="2" t="inlineStr">
        <is>
          <t>2021-04-13 00:00:00</t>
        </is>
      </c>
      <c r="B8" s="2" t="n">
        <v>23473</v>
      </c>
      <c r="C8" s="2" t="inlineStr">
        <is>
          <t>Northeast Bloc</t>
        </is>
      </c>
      <c r="D8" s="2" t="n">
        <v>39.121537</v>
      </c>
      <c r="E8" s="2" t="n">
        <v>-94.50840100000001</v>
      </c>
      <c r="F8" s="2" t="inlineStr">
        <is>
          <t>Darius Allen
Tavian Robinson
DeShawn King
Terrence Thomas
Rodney Davis
Kevin Anderson
Jordan Davis
Cortez Walker
Kevin Anderson</t>
        </is>
      </c>
      <c r="G8" s="2" t="inlineStr">
        <is>
          <t>28-Feb-2022 00:00:00
13-Oct-2025 00:00:00
12-May-2021 00:00:00
05-Nov-2022 00:00:00
13-Apr-2021 00:00:00
17-Dec-2021 00:00:00
01-Sep-2024 00:00:00
24-Jun-2024 00:00:00
25-Oct-2021 00:00:00</t>
        </is>
      </c>
      <c r="H8" s="2" t="inlineStr">
        <is>
          <t>Active
Active
Pending Review
Inactive (missing history)
Active
Active
Inactive (missing history)
Inactive
Inactive (missing history)</t>
        </is>
      </c>
      <c r="I8" s="2" t="inlineStr">
        <is>
          <t>Network
Mentor
Mentor
Stipend
Stipend
Stipend
Network
Stipend
Outreach</t>
        </is>
      </c>
      <c r="J8" s="2" t="inlineStr">
        <is>
          <t>Nadia Freeman
Nadia Freeman
Mike Okafor
Greg Haines
Mike Okafor
Sandra Powell
Latasha Rivera
Latasha Rivera
Sandra Powell</t>
        </is>
      </c>
      <c r="K8" s="2" t="inlineStr">
        <is>
          <t>Prospect Initiative</t>
        </is>
      </c>
      <c r="L8" s="2" t="inlineStr">
        <is>
          <t>5150</t>
        </is>
      </c>
      <c r="M8" s="2" t="inlineStr">
        <is>
          <t>Swope Park Riders</t>
        </is>
      </c>
      <c r="N8" s="2" t="n">
        <v>6</v>
      </c>
    </row>
    <row r="9" ht="112" customHeight="1">
      <c r="A9" s="2" t="inlineStr">
        <is>
          <t>2019-06-08 00:00:00</t>
        </is>
      </c>
      <c r="B9" s="2" t="n">
        <v>85574</v>
      </c>
      <c r="C9" s="2" t="inlineStr">
        <is>
          <t>Ruskin Heights Clique</t>
        </is>
      </c>
      <c r="D9" s="2" t="n">
        <v>38.938901</v>
      </c>
      <c r="E9" s="2" t="n">
        <v>-94.574556</v>
      </c>
      <c r="F9" s="2" t="inlineStr">
        <is>
          <t>Cortez Brown
Antoine Jones
Darnell Thompson
DeShawn Jones
Cortez Moore
Carlos King
Cortez Harris
Jamal Jones</t>
        </is>
      </c>
      <c r="G9" s="2" t="inlineStr">
        <is>
          <t>18-Mar-2020 00:00:00
16-Apr-2023 00:00:00
08-Jun-2019 00:00:00
11-Apr-2024 00:00:00
30-Jun-2021 00:00:00
28-Mar-2021 00:00:00
29-Feb-2024 00:00:00
03-Dec-2022 00:00:00</t>
        </is>
      </c>
      <c r="H9" s="2" t="inlineStr">
        <is>
          <t>Inactive (missing history)
Inactive
Inactive
Active
Inactive
Pending Review
Inactive (missing history)
Inactive (missing history)</t>
        </is>
      </c>
      <c r="I9" s="2" t="inlineStr">
        <is>
          <t>Stipend
Outreach
Outreach
Mentor
Outreach
Stipend
Stipend
Outreach</t>
        </is>
      </c>
      <c r="J9" s="2" t="inlineStr">
        <is>
          <t>Mike Okafor
Nadia Freeman
Latasha Rivera
Sandra Powell
Sandra Powell
Nadia Freeman
Greg Haines
Latasha Rivera</t>
        </is>
      </c>
      <c r="K9" s="2" t="inlineStr">
        <is>
          <t>Prospect Initiative</t>
        </is>
      </c>
      <c r="L9" s="2" t="inlineStr">
        <is>
          <t>Rolling 60s</t>
        </is>
      </c>
      <c r="M9" s="2" t="inlineStr">
        <is>
          <t>Blue Hills Network
Northeast Bloc</t>
        </is>
      </c>
      <c r="N9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1" customWidth="1" min="2" max="2"/>
    <col width="10" customWidth="1" min="3" max="3"/>
    <col width="23.1" customWidth="1" min="4" max="4"/>
    <col width="10" customWidth="1" min="5" max="5"/>
    <col width="28.6" customWidth="1" min="6" max="6"/>
    <col width="11" customWidth="1" min="7" max="7"/>
    <col width="10" customWidth="1" min="8" max="8"/>
    <col width="10" customWidth="1" min="9" max="9"/>
    <col width="15.4" customWidth="1" min="10" max="10"/>
    <col width="14.3" customWidth="1" min="11" max="11"/>
    <col width="16.5" customWidth="1" min="12" max="12"/>
    <col width="19.8" customWidth="1" min="13" max="13"/>
    <col width="24.2" customWidth="1" min="14" max="14"/>
  </cols>
  <sheetData>
    <row r="1">
      <c r="A1" s="3" t="inlineStr">
        <is>
          <t>Full Name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Crew</t>
        </is>
      </c>
      <c r="E1" s="3" t="inlineStr">
        <is>
          <t>Role</t>
        </is>
      </c>
      <c r="F1" s="3" t="inlineStr">
        <is>
          <t>Status</t>
        </is>
      </c>
      <c r="G1" s="3" t="inlineStr">
        <is>
          <t>DOB</t>
        </is>
      </c>
      <c r="H1" s="3" t="inlineStr">
        <is>
          <t>Race</t>
        </is>
      </c>
      <c r="I1" s="3" t="inlineStr">
        <is>
          <t>Sex</t>
        </is>
      </c>
      <c r="J1" s="3" t="inlineStr">
        <is>
          <t>Case Worker</t>
        </is>
      </c>
      <c r="K1" s="3" t="inlineStr">
        <is>
          <t>Catalyst Type</t>
        </is>
      </c>
      <c r="L1" s="3" t="inlineStr">
        <is>
          <t>Enrollment Date</t>
        </is>
      </c>
      <c r="M1" s="3" t="inlineStr">
        <is>
          <t>Known Affiliations</t>
        </is>
      </c>
      <c r="N1" s="3" t="inlineStr">
        <is>
          <t>Notes</t>
        </is>
      </c>
    </row>
    <row r="2">
      <c r="A2" s="2" t="inlineStr">
        <is>
          <t>Jordan Williams</t>
        </is>
      </c>
      <c r="B2" s="2" t="inlineStr">
        <is>
          <t>Jordan</t>
        </is>
      </c>
      <c r="C2" s="2" t="inlineStr">
        <is>
          <t>Williams</t>
        </is>
      </c>
      <c r="D2" s="2" t="inlineStr">
        <is>
          <t>Prospect Hill Boys</t>
        </is>
      </c>
      <c r="E2" s="2" t="inlineStr">
        <is>
          <t>Leader</t>
        </is>
      </c>
      <c r="F2" s="2" t="inlineStr">
        <is>
          <t>Pending Review</t>
        </is>
      </c>
      <c r="G2" s="2" t="inlineStr">
        <is>
          <t>06/23/1985</t>
        </is>
      </c>
      <c r="H2" s="2" t="inlineStr">
        <is>
          <t>A</t>
        </is>
      </c>
      <c r="I2" s="2" t="inlineStr">
        <is>
          <t>M</t>
        </is>
      </c>
      <c r="J2" s="2" t="inlineStr">
        <is>
          <t>Latasha Rivera</t>
        </is>
      </c>
      <c r="K2" s="2" t="inlineStr">
        <is>
          <t>Mentor</t>
        </is>
      </c>
      <c r="L2" s="2" t="inlineStr">
        <is>
          <t>04/11/2023</t>
        </is>
      </c>
      <c r="M2" s="2" t="inlineStr">
        <is>
          <t>Rolling 60s</t>
        </is>
      </c>
      <c r="N2" s="2" t="inlineStr">
        <is>
          <t>Low engagement</t>
        </is>
      </c>
    </row>
    <row r="3">
      <c r="A3" s="2" t="inlineStr">
        <is>
          <t>Cortez Anderson</t>
        </is>
      </c>
      <c r="B3" s="2" t="inlineStr">
        <is>
          <t>Cortez</t>
        </is>
      </c>
      <c r="C3" s="2" t="inlineStr">
        <is>
          <t>Anderson</t>
        </is>
      </c>
      <c r="D3" s="2" t="inlineStr">
        <is>
          <t>Prospect Hill Boys</t>
        </is>
      </c>
      <c r="E3" s="2" t="inlineStr">
        <is>
          <t>Leader</t>
        </is>
      </c>
      <c r="F3" s="2" t="inlineStr">
        <is>
          <t>Pending Review</t>
        </is>
      </c>
      <c r="G3" s="2" t="inlineStr">
        <is>
          <t>08/29/1976</t>
        </is>
      </c>
      <c r="H3" s="2" t="inlineStr">
        <is>
          <t>W</t>
        </is>
      </c>
      <c r="I3" s="2" t="inlineStr">
        <is>
          <t>F</t>
        </is>
      </c>
      <c r="J3" s="2" t="inlineStr">
        <is>
          <t>Sandra Powell</t>
        </is>
      </c>
      <c r="K3" s="2" t="inlineStr">
        <is>
          <t>Mentor</t>
        </is>
      </c>
      <c r="L3" s="2" t="inlineStr">
        <is>
          <t>02/13/2020</t>
        </is>
      </c>
      <c r="M3" s="2" t="inlineStr">
        <is>
          <t>Bloods</t>
        </is>
      </c>
      <c r="N3" s="2" t="inlineStr">
        <is>
          <t>Recently relocated</t>
        </is>
      </c>
    </row>
    <row r="4">
      <c r="A4" s="2" t="inlineStr">
        <is>
          <t>Antoine Harris</t>
        </is>
      </c>
      <c r="B4" s="2" t="inlineStr">
        <is>
          <t>Antoine</t>
        </is>
      </c>
      <c r="C4" s="2" t="inlineStr">
        <is>
          <t>Harris</t>
        </is>
      </c>
      <c r="D4" s="2" t="inlineStr">
        <is>
          <t>Prospect Hill Boys</t>
        </is>
      </c>
      <c r="E4" s="2" t="inlineStr">
        <is>
          <t>Member</t>
        </is>
      </c>
      <c r="F4" s="2" t="inlineStr">
        <is>
          <t>Inactive</t>
        </is>
      </c>
      <c r="G4" s="2" t="inlineStr">
        <is>
          <t>05/23/1993</t>
        </is>
      </c>
      <c r="H4" s="2" t="inlineStr">
        <is>
          <t>W</t>
        </is>
      </c>
      <c r="I4" s="2" t="inlineStr">
        <is>
          <t>M</t>
        </is>
      </c>
      <c r="J4" s="2" t="inlineStr">
        <is>
          <t>Greg Haines</t>
        </is>
      </c>
      <c r="K4" s="2" t="inlineStr">
        <is>
          <t>Outreach</t>
        </is>
      </c>
      <c r="L4" s="2" t="inlineStr">
        <is>
          <t>10/18/2022</t>
        </is>
      </c>
      <c r="M4" s="2" t="inlineStr">
        <is>
          <t>Bloods</t>
        </is>
      </c>
      <c r="N4" s="2" t="inlineStr">
        <is>
          <t>Low engagement</t>
        </is>
      </c>
    </row>
    <row r="5">
      <c r="A5" s="2" t="inlineStr">
        <is>
          <t>Kevin Green</t>
        </is>
      </c>
      <c r="B5" s="2" t="inlineStr">
        <is>
          <t>Kevin</t>
        </is>
      </c>
      <c r="C5" s="2" t="inlineStr">
        <is>
          <t>Green</t>
        </is>
      </c>
      <c r="D5" s="2" t="inlineStr">
        <is>
          <t>Prospect Hill Boys</t>
        </is>
      </c>
      <c r="E5" s="2" t="inlineStr">
        <is>
          <t>Affiliate</t>
        </is>
      </c>
      <c r="F5" s="2" t="inlineStr">
        <is>
          <t>Active</t>
        </is>
      </c>
      <c r="G5" s="2" t="inlineStr">
        <is>
          <t>09/27/1989</t>
        </is>
      </c>
      <c r="H5" s="2" t="inlineStr">
        <is>
          <t>U</t>
        </is>
      </c>
      <c r="I5" s="2" t="inlineStr">
        <is>
          <t>F</t>
        </is>
      </c>
      <c r="J5" s="2" t="inlineStr">
        <is>
          <t>Latasha Rivera</t>
        </is>
      </c>
      <c r="K5" s="2" t="inlineStr">
        <is>
          <t>Mentor</t>
        </is>
      </c>
      <c r="L5" s="2" t="inlineStr">
        <is>
          <t>01/25/2025</t>
        </is>
      </c>
      <c r="M5" s="2" t="inlineStr">
        <is>
          <t>CVE</t>
        </is>
      </c>
      <c r="N5" s="2" t="inlineStr">
        <is>
          <t>High risk</t>
        </is>
      </c>
    </row>
    <row r="6">
      <c r="A6" s="2" t="inlineStr">
        <is>
          <t>Jordan King</t>
        </is>
      </c>
      <c r="B6" s="2" t="inlineStr">
        <is>
          <t>Jordan</t>
        </is>
      </c>
      <c r="C6" s="2" t="inlineStr">
        <is>
          <t>King</t>
        </is>
      </c>
      <c r="D6" s="2" t="inlineStr">
        <is>
          <t>Prospect Hill Boys</t>
        </is>
      </c>
      <c r="E6" s="2" t="inlineStr">
        <is>
          <t>Member</t>
        </is>
      </c>
      <c r="F6" s="2" t="inlineStr">
        <is>
          <t>Inactive</t>
        </is>
      </c>
      <c r="G6" s="2" t="inlineStr">
        <is>
          <t>04/24/2003</t>
        </is>
      </c>
      <c r="H6" s="2" t="inlineStr">
        <is>
          <t>H</t>
        </is>
      </c>
      <c r="I6" s="2" t="inlineStr">
        <is>
          <t>M</t>
        </is>
      </c>
      <c r="J6" s="2" t="inlineStr">
        <is>
          <t>Sandra Powell</t>
        </is>
      </c>
      <c r="K6" s="2" t="inlineStr">
        <is>
          <t>Mentor</t>
        </is>
      </c>
      <c r="L6" s="2" t="inlineStr">
        <is>
          <t>02/08/2020</t>
        </is>
      </c>
      <c r="M6" s="2" t="inlineStr">
        <is>
          <t>None</t>
        </is>
      </c>
      <c r="N6" s="2" t="inlineStr">
        <is>
          <t>Low engagement</t>
        </is>
      </c>
    </row>
    <row r="7">
      <c r="A7" s="2" t="inlineStr">
        <is>
          <t>Cortez Walker</t>
        </is>
      </c>
      <c r="B7" s="2" t="inlineStr">
        <is>
          <t>Cortez</t>
        </is>
      </c>
      <c r="C7" s="2" t="inlineStr">
        <is>
          <t>Walker</t>
        </is>
      </c>
      <c r="D7" s="2" t="inlineStr">
        <is>
          <t>Prospect Hill Boys</t>
        </is>
      </c>
      <c r="E7" s="2" t="inlineStr">
        <is>
          <t>Member</t>
        </is>
      </c>
      <c r="F7" s="2" t="inlineStr">
        <is>
          <t>Pending Review</t>
        </is>
      </c>
      <c r="G7" s="2" t="inlineStr">
        <is>
          <t>06/18/1982</t>
        </is>
      </c>
      <c r="H7" s="2" t="inlineStr">
        <is>
          <t>H</t>
        </is>
      </c>
      <c r="I7" s="2" t="inlineStr">
        <is>
          <t>M</t>
        </is>
      </c>
      <c r="J7" s="2" t="inlineStr">
        <is>
          <t>Sandra Powell</t>
        </is>
      </c>
      <c r="K7" s="2" t="inlineStr">
        <is>
          <t>Outreach</t>
        </is>
      </c>
      <c r="L7" s="2" t="inlineStr">
        <is>
          <t>08/18/2019</t>
        </is>
      </c>
      <c r="M7" s="2" t="inlineStr">
        <is>
          <t>GD</t>
        </is>
      </c>
      <c r="N7" s="2" t="inlineStr">
        <is>
          <t>Currently on probation</t>
        </is>
      </c>
    </row>
    <row r="8">
      <c r="A8" s="2" t="inlineStr">
        <is>
          <t>Tyrell Hall</t>
        </is>
      </c>
      <c r="B8" s="2" t="inlineStr">
        <is>
          <t>Tyrell</t>
        </is>
      </c>
      <c r="C8" s="2" t="inlineStr">
        <is>
          <t>Hall</t>
        </is>
      </c>
      <c r="D8" s="2" t="inlineStr">
        <is>
          <t>Prospect Hill Boys</t>
        </is>
      </c>
      <c r="E8" s="2" t="inlineStr">
        <is>
          <t>Associate</t>
        </is>
      </c>
      <c r="F8" s="2" t="inlineStr">
        <is>
          <t>Pending Review</t>
        </is>
      </c>
      <c r="G8" s="2" t="inlineStr">
        <is>
          <t>07/13/1981</t>
        </is>
      </c>
      <c r="H8" s="2" t="inlineStr">
        <is>
          <t>W</t>
        </is>
      </c>
      <c r="I8" s="2" t="inlineStr">
        <is>
          <t>F</t>
        </is>
      </c>
      <c r="J8" s="2" t="inlineStr">
        <is>
          <t>Nadia Freeman</t>
        </is>
      </c>
      <c r="K8" s="2" t="inlineStr">
        <is>
          <t>Network</t>
        </is>
      </c>
      <c r="L8" s="2" t="inlineStr">
        <is>
          <t>11/27/2020</t>
        </is>
      </c>
      <c r="M8" s="2" t="inlineStr">
        <is>
          <t>BGF</t>
        </is>
      </c>
      <c r="N8" s="2" t="inlineStr"/>
    </row>
    <row r="9">
      <c r="A9" s="2" t="inlineStr">
        <is>
          <t>Carlos Johnson</t>
        </is>
      </c>
      <c r="B9" s="2" t="inlineStr">
        <is>
          <t>Carlos</t>
        </is>
      </c>
      <c r="C9" s="2" t="inlineStr">
        <is>
          <t>Johnson</t>
        </is>
      </c>
      <c r="D9" s="2" t="inlineStr">
        <is>
          <t>Prospect Hill Boys</t>
        </is>
      </c>
      <c r="E9" s="2" t="inlineStr">
        <is>
          <t>Affiliate</t>
        </is>
      </c>
      <c r="F9" s="2" t="inlineStr">
        <is>
          <t>Inactive</t>
        </is>
      </c>
      <c r="G9" s="2" t="inlineStr">
        <is>
          <t>04/28/1997</t>
        </is>
      </c>
      <c r="H9" s="2" t="inlineStr">
        <is>
          <t>U</t>
        </is>
      </c>
      <c r="I9" s="2" t="inlineStr">
        <is>
          <t>M</t>
        </is>
      </c>
      <c r="J9" s="2" t="inlineStr">
        <is>
          <t>Mike Okafor</t>
        </is>
      </c>
      <c r="K9" s="2" t="inlineStr">
        <is>
          <t>Mentor</t>
        </is>
      </c>
      <c r="L9" s="2" t="inlineStr">
        <is>
          <t>11/06/2021</t>
        </is>
      </c>
      <c r="M9" s="2" t="inlineStr">
        <is>
          <t>Rolling 60s</t>
        </is>
      </c>
      <c r="N9" s="2" t="inlineStr">
        <is>
          <t>Currently on probation</t>
        </is>
      </c>
    </row>
    <row r="10">
      <c r="A10" s="2" t="inlineStr">
        <is>
          <t>DeShawn Jackson</t>
        </is>
      </c>
      <c r="B10" s="2" t="inlineStr">
        <is>
          <t>DeShawn</t>
        </is>
      </c>
      <c r="C10" s="2" t="inlineStr">
        <is>
          <t>Jackson</t>
        </is>
      </c>
      <c r="D10" s="2" t="inlineStr">
        <is>
          <t>Prospect Hill Boys</t>
        </is>
      </c>
      <c r="E10" s="2" t="inlineStr">
        <is>
          <t>Member</t>
        </is>
      </c>
      <c r="F10" s="2" t="inlineStr">
        <is>
          <t>Pending Review</t>
        </is>
      </c>
      <c r="G10" s="2" t="inlineStr">
        <is>
          <t>11/26/1987</t>
        </is>
      </c>
      <c r="H10" s="2" t="inlineStr">
        <is>
          <t>U</t>
        </is>
      </c>
      <c r="I10" s="2" t="inlineStr">
        <is>
          <t>M</t>
        </is>
      </c>
      <c r="J10" s="2" t="inlineStr">
        <is>
          <t>Sandra Powell</t>
        </is>
      </c>
      <c r="K10" s="2" t="inlineStr">
        <is>
          <t>Mentor</t>
        </is>
      </c>
      <c r="L10" s="2" t="inlineStr">
        <is>
          <t>11/16/2022</t>
        </is>
      </c>
      <c r="M10" s="2" t="inlineStr">
        <is>
          <t>Bloods</t>
        </is>
      </c>
      <c r="N10" s="2" t="inlineStr">
        <is>
          <t>Currently on probation</t>
        </is>
      </c>
    </row>
    <row r="11">
      <c r="A11" s="2" t="inlineStr">
        <is>
          <t>Jordan White</t>
        </is>
      </c>
      <c r="B11" s="2" t="inlineStr">
        <is>
          <t>Jordan</t>
        </is>
      </c>
      <c r="C11" s="2" t="inlineStr">
        <is>
          <t>White</t>
        </is>
      </c>
      <c r="D11" s="2" t="inlineStr">
        <is>
          <t>East Paseo Set</t>
        </is>
      </c>
      <c r="E11" s="2" t="inlineStr">
        <is>
          <t>Affiliate</t>
        </is>
      </c>
      <c r="F11" s="2" t="inlineStr">
        <is>
          <t>Inactive (missing history)</t>
        </is>
      </c>
      <c r="G11" s="2" t="inlineStr">
        <is>
          <t>06/29/1995</t>
        </is>
      </c>
      <c r="H11" s="2" t="inlineStr">
        <is>
          <t>H</t>
        </is>
      </c>
      <c r="I11" s="2" t="inlineStr">
        <is>
          <t>M</t>
        </is>
      </c>
      <c r="J11" s="2" t="inlineStr">
        <is>
          <t>Greg Haines</t>
        </is>
      </c>
      <c r="K11" s="2" t="inlineStr">
        <is>
          <t>Mentor</t>
        </is>
      </c>
      <c r="L11" s="2" t="inlineStr">
        <is>
          <t>03/12/2020</t>
        </is>
      </c>
      <c r="M11" s="2" t="inlineStr">
        <is>
          <t>BGF</t>
        </is>
      </c>
      <c r="N11" s="2" t="inlineStr">
        <is>
          <t>Recently relocated</t>
        </is>
      </c>
    </row>
    <row r="12">
      <c r="A12" s="2" t="inlineStr">
        <is>
          <t>Jamal Wilson</t>
        </is>
      </c>
      <c r="B12" s="2" t="inlineStr">
        <is>
          <t>Jamal</t>
        </is>
      </c>
      <c r="C12" s="2" t="inlineStr">
        <is>
          <t>Wilson</t>
        </is>
      </c>
      <c r="D12" s="2" t="inlineStr">
        <is>
          <t>East Paseo Set</t>
        </is>
      </c>
      <c r="E12" s="2" t="inlineStr">
        <is>
          <t>Associate</t>
        </is>
      </c>
      <c r="F12" s="2" t="inlineStr">
        <is>
          <t>Inactive (missing history)</t>
        </is>
      </c>
      <c r="G12" s="2" t="inlineStr">
        <is>
          <t>05/14/2006</t>
        </is>
      </c>
      <c r="H12" s="2" t="inlineStr">
        <is>
          <t>H</t>
        </is>
      </c>
      <c r="I12" s="2" t="inlineStr">
        <is>
          <t>M</t>
        </is>
      </c>
      <c r="J12" s="2" t="inlineStr">
        <is>
          <t>Greg Haines</t>
        </is>
      </c>
      <c r="K12" s="2" t="inlineStr">
        <is>
          <t>Outreach</t>
        </is>
      </c>
      <c r="L12" s="2" t="inlineStr">
        <is>
          <t>02/03/2019</t>
        </is>
      </c>
      <c r="M12" s="2" t="inlineStr">
        <is>
          <t>Bloods</t>
        </is>
      </c>
      <c r="N12" s="2" t="inlineStr"/>
    </row>
    <row r="13">
      <c r="A13" s="2" t="inlineStr">
        <is>
          <t>Tavian Martin</t>
        </is>
      </c>
      <c r="B13" s="2" t="inlineStr">
        <is>
          <t>Tavian</t>
        </is>
      </c>
      <c r="C13" s="2" t="inlineStr">
        <is>
          <t>Martin</t>
        </is>
      </c>
      <c r="D13" s="2" t="inlineStr">
        <is>
          <t>East Paseo Set</t>
        </is>
      </c>
      <c r="E13" s="2" t="inlineStr">
        <is>
          <t>Member</t>
        </is>
      </c>
      <c r="F13" s="2" t="inlineStr">
        <is>
          <t>Pending Review</t>
        </is>
      </c>
      <c r="G13" s="2" t="inlineStr">
        <is>
          <t>11/03/1987</t>
        </is>
      </c>
      <c r="H13" s="2" t="inlineStr">
        <is>
          <t>W</t>
        </is>
      </c>
      <c r="I13" s="2" t="inlineStr">
        <is>
          <t>F</t>
        </is>
      </c>
      <c r="J13" s="2" t="inlineStr">
        <is>
          <t>Mike Okafor</t>
        </is>
      </c>
      <c r="K13" s="2" t="inlineStr">
        <is>
          <t>Network</t>
        </is>
      </c>
      <c r="L13" s="2" t="inlineStr">
        <is>
          <t>10/23/2021</t>
        </is>
      </c>
      <c r="M13" s="2" t="inlineStr">
        <is>
          <t>5150</t>
        </is>
      </c>
      <c r="N13" s="2" t="inlineStr"/>
    </row>
    <row r="14">
      <c r="A14" s="2" t="inlineStr">
        <is>
          <t>Darnell Martin</t>
        </is>
      </c>
      <c r="B14" s="2" t="inlineStr">
        <is>
          <t>Darnell</t>
        </is>
      </c>
      <c r="C14" s="2" t="inlineStr">
        <is>
          <t>Martin</t>
        </is>
      </c>
      <c r="D14" s="2" t="inlineStr">
        <is>
          <t>East Paseo Set</t>
        </is>
      </c>
      <c r="E14" s="2" t="inlineStr">
        <is>
          <t>Leader</t>
        </is>
      </c>
      <c r="F14" s="2" t="inlineStr">
        <is>
          <t>Active</t>
        </is>
      </c>
      <c r="G14" s="2" t="inlineStr">
        <is>
          <t>02/23/2003</t>
        </is>
      </c>
      <c r="H14" s="2" t="inlineStr">
        <is>
          <t>B</t>
        </is>
      </c>
      <c r="I14" s="2" t="inlineStr">
        <is>
          <t>F</t>
        </is>
      </c>
      <c r="J14" s="2" t="inlineStr">
        <is>
          <t>Greg Haines</t>
        </is>
      </c>
      <c r="K14" s="2" t="inlineStr">
        <is>
          <t>Stipend</t>
        </is>
      </c>
      <c r="L14" s="2" t="inlineStr">
        <is>
          <t>07/01/2025</t>
        </is>
      </c>
      <c r="M14" s="2" t="inlineStr">
        <is>
          <t>GD</t>
        </is>
      </c>
      <c r="N14" s="2" t="inlineStr">
        <is>
          <t>Low engagement</t>
        </is>
      </c>
    </row>
    <row r="15">
      <c r="A15" s="2" t="inlineStr">
        <is>
          <t>Trevon Smith</t>
        </is>
      </c>
      <c r="B15" s="2" t="inlineStr">
        <is>
          <t>Trevon</t>
        </is>
      </c>
      <c r="C15" s="2" t="inlineStr">
        <is>
          <t>Smith</t>
        </is>
      </c>
      <c r="D15" s="2" t="inlineStr">
        <is>
          <t>East Paseo Set</t>
        </is>
      </c>
      <c r="E15" s="2" t="inlineStr">
        <is>
          <t>Leader</t>
        </is>
      </c>
      <c r="F15" s="2" t="inlineStr">
        <is>
          <t>Active</t>
        </is>
      </c>
      <c r="G15" s="2" t="inlineStr">
        <is>
          <t>03/28/1988</t>
        </is>
      </c>
      <c r="H15" s="2" t="inlineStr">
        <is>
          <t>H</t>
        </is>
      </c>
      <c r="I15" s="2" t="inlineStr">
        <is>
          <t>F</t>
        </is>
      </c>
      <c r="J15" s="2" t="inlineStr">
        <is>
          <t>Mike Okafor</t>
        </is>
      </c>
      <c r="K15" s="2" t="inlineStr">
        <is>
          <t>Network</t>
        </is>
      </c>
      <c r="L15" s="2" t="inlineStr">
        <is>
          <t>06/25/2020</t>
        </is>
      </c>
      <c r="M15" s="2" t="inlineStr">
        <is>
          <t>None</t>
        </is>
      </c>
      <c r="N15" s="2" t="inlineStr">
        <is>
          <t>High risk</t>
        </is>
      </c>
    </row>
    <row r="16">
      <c r="A16" s="2" t="inlineStr">
        <is>
          <t>Rodney Anderson</t>
        </is>
      </c>
      <c r="B16" s="2" t="inlineStr">
        <is>
          <t>Rodney</t>
        </is>
      </c>
      <c r="C16" s="2" t="inlineStr">
        <is>
          <t>Anderson</t>
        </is>
      </c>
      <c r="D16" s="2" t="inlineStr">
        <is>
          <t>East Paseo Set</t>
        </is>
      </c>
      <c r="E16" s="2" t="inlineStr">
        <is>
          <t>Associate</t>
        </is>
      </c>
      <c r="F16" s="2" t="inlineStr">
        <is>
          <t>Inactive (missing history)</t>
        </is>
      </c>
      <c r="G16" s="2" t="inlineStr">
        <is>
          <t>05/19/1982</t>
        </is>
      </c>
      <c r="H16" s="2" t="inlineStr">
        <is>
          <t>H</t>
        </is>
      </c>
      <c r="I16" s="2" t="inlineStr">
        <is>
          <t>F</t>
        </is>
      </c>
      <c r="J16" s="2" t="inlineStr">
        <is>
          <t>Latasha Rivera</t>
        </is>
      </c>
      <c r="K16" s="2" t="inlineStr">
        <is>
          <t>Outreach</t>
        </is>
      </c>
      <c r="L16" s="2" t="inlineStr">
        <is>
          <t>04/16/2020</t>
        </is>
      </c>
      <c r="M16" s="2" t="inlineStr">
        <is>
          <t>Rolling 60s</t>
        </is>
      </c>
      <c r="N16" s="2" t="inlineStr"/>
    </row>
    <row r="17">
      <c r="A17" s="2" t="inlineStr">
        <is>
          <t>Kelvin King</t>
        </is>
      </c>
      <c r="B17" s="2" t="inlineStr">
        <is>
          <t>Kelvin</t>
        </is>
      </c>
      <c r="C17" s="2" t="inlineStr">
        <is>
          <t>King</t>
        </is>
      </c>
      <c r="D17" s="2" t="inlineStr">
        <is>
          <t>East Paseo Set</t>
        </is>
      </c>
      <c r="E17" s="2" t="inlineStr">
        <is>
          <t>Leader</t>
        </is>
      </c>
      <c r="F17" s="2" t="inlineStr">
        <is>
          <t>Inactive</t>
        </is>
      </c>
      <c r="G17" s="2" t="inlineStr">
        <is>
          <t>05/03/2005</t>
        </is>
      </c>
      <c r="H17" s="2" t="inlineStr">
        <is>
          <t>A</t>
        </is>
      </c>
      <c r="I17" s="2" t="inlineStr">
        <is>
          <t>F</t>
        </is>
      </c>
      <c r="J17" s="2" t="inlineStr">
        <is>
          <t>Sandra Powell</t>
        </is>
      </c>
      <c r="K17" s="2" t="inlineStr">
        <is>
          <t>Mentor</t>
        </is>
      </c>
      <c r="L17" s="2" t="inlineStr">
        <is>
          <t>02/27/2019</t>
        </is>
      </c>
      <c r="M17" s="2" t="inlineStr">
        <is>
          <t>GD</t>
        </is>
      </c>
      <c r="N17" s="2" t="inlineStr">
        <is>
          <t>High risk</t>
        </is>
      </c>
    </row>
    <row r="18">
      <c r="A18" s="2" t="inlineStr">
        <is>
          <t>Tavian Jackson</t>
        </is>
      </c>
      <c r="B18" s="2" t="inlineStr">
        <is>
          <t>Tavian</t>
        </is>
      </c>
      <c r="C18" s="2" t="inlineStr">
        <is>
          <t>Jackson</t>
        </is>
      </c>
      <c r="D18" s="2" t="inlineStr">
        <is>
          <t>East Paseo Set</t>
        </is>
      </c>
      <c r="E18" s="2" t="inlineStr">
        <is>
          <t>Member</t>
        </is>
      </c>
      <c r="F18" s="2" t="inlineStr">
        <is>
          <t>Pending Review</t>
        </is>
      </c>
      <c r="G18" s="2" t="inlineStr">
        <is>
          <t>07/14/1991</t>
        </is>
      </c>
      <c r="H18" s="2" t="inlineStr">
        <is>
          <t>H</t>
        </is>
      </c>
      <c r="I18" s="2" t="inlineStr">
        <is>
          <t>F</t>
        </is>
      </c>
      <c r="J18" s="2" t="inlineStr">
        <is>
          <t>Latasha Rivera</t>
        </is>
      </c>
      <c r="K18" s="2" t="inlineStr">
        <is>
          <t>Stipend</t>
        </is>
      </c>
      <c r="L18" s="2" t="inlineStr">
        <is>
          <t>08/15/2021</t>
        </is>
      </c>
      <c r="M18" s="2" t="inlineStr">
        <is>
          <t>Rolling 60s</t>
        </is>
      </c>
      <c r="N18" s="2" t="inlineStr"/>
    </row>
    <row r="19">
      <c r="A19" s="2" t="inlineStr">
        <is>
          <t>Elijah Young</t>
        </is>
      </c>
      <c r="B19" s="2" t="inlineStr">
        <is>
          <t>Elijah</t>
        </is>
      </c>
      <c r="C19" s="2" t="inlineStr">
        <is>
          <t>Young</t>
        </is>
      </c>
      <c r="D19" s="2" t="inlineStr">
        <is>
          <t>East Paseo Set</t>
        </is>
      </c>
      <c r="E19" s="2" t="inlineStr">
        <is>
          <t>Associate</t>
        </is>
      </c>
      <c r="F19" s="2" t="inlineStr">
        <is>
          <t>Inactive</t>
        </is>
      </c>
      <c r="G19" s="2" t="inlineStr">
        <is>
          <t>01/20/2004</t>
        </is>
      </c>
      <c r="H19" s="2" t="inlineStr">
        <is>
          <t>B</t>
        </is>
      </c>
      <c r="I19" s="2" t="inlineStr">
        <is>
          <t>F</t>
        </is>
      </c>
      <c r="J19" s="2" t="inlineStr">
        <is>
          <t>Latasha Rivera</t>
        </is>
      </c>
      <c r="K19" s="2" t="inlineStr">
        <is>
          <t>Mentor</t>
        </is>
      </c>
      <c r="L19" s="2" t="inlineStr">
        <is>
          <t>04/22/2020</t>
        </is>
      </c>
      <c r="M19" s="2" t="inlineStr">
        <is>
          <t>BGF</t>
        </is>
      </c>
      <c r="N19" s="2" t="inlineStr"/>
    </row>
    <row r="20">
      <c r="A20" s="2" t="inlineStr">
        <is>
          <t>Darnell Walker</t>
        </is>
      </c>
      <c r="B20" s="2" t="inlineStr">
        <is>
          <t>Darnell</t>
        </is>
      </c>
      <c r="C20" s="2" t="inlineStr">
        <is>
          <t>Walker</t>
        </is>
      </c>
      <c r="D20" s="2" t="inlineStr">
        <is>
          <t>East Paseo Set</t>
        </is>
      </c>
      <c r="E20" s="2" t="inlineStr">
        <is>
          <t>Member</t>
        </is>
      </c>
      <c r="F20" s="2" t="inlineStr">
        <is>
          <t>Inactive (missing history)</t>
        </is>
      </c>
      <c r="G20" s="2" t="inlineStr">
        <is>
          <t>02/05/1997</t>
        </is>
      </c>
      <c r="H20" s="2" t="inlineStr">
        <is>
          <t>B</t>
        </is>
      </c>
      <c r="I20" s="2" t="inlineStr">
        <is>
          <t>M</t>
        </is>
      </c>
      <c r="J20" s="2" t="inlineStr">
        <is>
          <t>Mike Okafor</t>
        </is>
      </c>
      <c r="K20" s="2" t="inlineStr">
        <is>
          <t>Network</t>
        </is>
      </c>
      <c r="L20" s="2" t="inlineStr">
        <is>
          <t>05/11/2023</t>
        </is>
      </c>
      <c r="M20" s="2" t="inlineStr">
        <is>
          <t>Rolling 60s</t>
        </is>
      </c>
      <c r="N20" s="2" t="inlineStr">
        <is>
          <t>Currently on probation</t>
        </is>
      </c>
    </row>
    <row r="21">
      <c r="A21" s="2" t="inlineStr">
        <is>
          <t>Rodney Walker</t>
        </is>
      </c>
      <c r="B21" s="2" t="inlineStr">
        <is>
          <t>Rodney</t>
        </is>
      </c>
      <c r="C21" s="2" t="inlineStr">
        <is>
          <t>Walker</t>
        </is>
      </c>
      <c r="D21" s="2" t="inlineStr">
        <is>
          <t>Westside Locos</t>
        </is>
      </c>
      <c r="E21" s="2" t="inlineStr">
        <is>
          <t>Affiliate</t>
        </is>
      </c>
      <c r="F21" s="2" t="inlineStr">
        <is>
          <t>Inactive</t>
        </is>
      </c>
      <c r="G21" s="2" t="inlineStr">
        <is>
          <t>08/11/1993</t>
        </is>
      </c>
      <c r="H21" s="2" t="inlineStr">
        <is>
          <t>B</t>
        </is>
      </c>
      <c r="I21" s="2" t="inlineStr">
        <is>
          <t>F</t>
        </is>
      </c>
      <c r="J21" s="2" t="inlineStr">
        <is>
          <t>Nadia Freeman</t>
        </is>
      </c>
      <c r="K21" s="2" t="inlineStr">
        <is>
          <t>Mentor</t>
        </is>
      </c>
      <c r="L21" s="2" t="inlineStr">
        <is>
          <t>02/19/2022</t>
        </is>
      </c>
      <c r="M21" s="2" t="inlineStr">
        <is>
          <t>CVE</t>
        </is>
      </c>
      <c r="N21" s="2" t="inlineStr">
        <is>
          <t>Low engagement</t>
        </is>
      </c>
    </row>
    <row r="22">
      <c r="A22" s="2" t="inlineStr">
        <is>
          <t>Jamal Young</t>
        </is>
      </c>
      <c r="B22" s="2" t="inlineStr">
        <is>
          <t>Jamal</t>
        </is>
      </c>
      <c r="C22" s="2" t="inlineStr">
        <is>
          <t>Young</t>
        </is>
      </c>
      <c r="D22" s="2" t="inlineStr">
        <is>
          <t>Westside Locos</t>
        </is>
      </c>
      <c r="E22" s="2" t="inlineStr">
        <is>
          <t>Associate</t>
        </is>
      </c>
      <c r="F22" s="2" t="inlineStr">
        <is>
          <t>Inactive</t>
        </is>
      </c>
      <c r="G22" s="2" t="inlineStr">
        <is>
          <t>11/21/1994</t>
        </is>
      </c>
      <c r="H22" s="2" t="inlineStr">
        <is>
          <t>A</t>
        </is>
      </c>
      <c r="I22" s="2" t="inlineStr">
        <is>
          <t>M</t>
        </is>
      </c>
      <c r="J22" s="2" t="inlineStr">
        <is>
          <t>Latasha Rivera</t>
        </is>
      </c>
      <c r="K22" s="2" t="inlineStr">
        <is>
          <t>Stipend</t>
        </is>
      </c>
      <c r="L22" s="2" t="inlineStr">
        <is>
          <t>02/13/2023</t>
        </is>
      </c>
      <c r="M22" s="2" t="inlineStr">
        <is>
          <t>Bloods</t>
        </is>
      </c>
      <c r="N22" s="2" t="inlineStr">
        <is>
          <t>Low engagement</t>
        </is>
      </c>
    </row>
    <row r="23">
      <c r="A23" s="2" t="inlineStr">
        <is>
          <t>Lamar Davis</t>
        </is>
      </c>
      <c r="B23" s="2" t="inlineStr">
        <is>
          <t>Lamar</t>
        </is>
      </c>
      <c r="C23" s="2" t="inlineStr">
        <is>
          <t>Davis</t>
        </is>
      </c>
      <c r="D23" s="2" t="inlineStr">
        <is>
          <t>Westside Locos</t>
        </is>
      </c>
      <c r="E23" s="2" t="inlineStr">
        <is>
          <t>Associate</t>
        </is>
      </c>
      <c r="F23" s="2" t="inlineStr">
        <is>
          <t>Active</t>
        </is>
      </c>
      <c r="G23" s="2" t="inlineStr">
        <is>
          <t>11/10/1992</t>
        </is>
      </c>
      <c r="H23" s="2" t="inlineStr">
        <is>
          <t>H</t>
        </is>
      </c>
      <c r="I23" s="2" t="inlineStr">
        <is>
          <t>M</t>
        </is>
      </c>
      <c r="J23" s="2" t="inlineStr">
        <is>
          <t>Sandra Powell</t>
        </is>
      </c>
      <c r="K23" s="2" t="inlineStr">
        <is>
          <t>Mentor</t>
        </is>
      </c>
      <c r="L23" s="2" t="inlineStr">
        <is>
          <t>01/11/2020</t>
        </is>
      </c>
      <c r="M23" s="2" t="inlineStr">
        <is>
          <t>5150</t>
        </is>
      </c>
      <c r="N23" s="2" t="inlineStr">
        <is>
          <t>Prior conviction</t>
        </is>
      </c>
    </row>
    <row r="24">
      <c r="A24" s="2" t="inlineStr">
        <is>
          <t>Darius Thompson</t>
        </is>
      </c>
      <c r="B24" s="2" t="inlineStr">
        <is>
          <t>Darius</t>
        </is>
      </c>
      <c r="C24" s="2" t="inlineStr">
        <is>
          <t>Thompson</t>
        </is>
      </c>
      <c r="D24" s="2" t="inlineStr">
        <is>
          <t>Westside Locos</t>
        </is>
      </c>
      <c r="E24" s="2" t="inlineStr">
        <is>
          <t>Member</t>
        </is>
      </c>
      <c r="F24" s="2" t="inlineStr">
        <is>
          <t>Active</t>
        </is>
      </c>
      <c r="G24" s="2" t="inlineStr">
        <is>
          <t>12/17/1989</t>
        </is>
      </c>
      <c r="H24" s="2" t="inlineStr">
        <is>
          <t>W</t>
        </is>
      </c>
      <c r="I24" s="2" t="inlineStr">
        <is>
          <t>M</t>
        </is>
      </c>
      <c r="J24" s="2" t="inlineStr">
        <is>
          <t>Nadia Freeman</t>
        </is>
      </c>
      <c r="K24" s="2" t="inlineStr">
        <is>
          <t>Network</t>
        </is>
      </c>
      <c r="L24" s="2" t="inlineStr">
        <is>
          <t>10/09/2019</t>
        </is>
      </c>
      <c r="M24" s="2" t="inlineStr">
        <is>
          <t>None</t>
        </is>
      </c>
      <c r="N24" s="2" t="inlineStr"/>
    </row>
    <row r="25">
      <c r="A25" s="2" t="inlineStr">
        <is>
          <t>Dominique Jackson</t>
        </is>
      </c>
      <c r="B25" s="2" t="inlineStr">
        <is>
          <t>Dominique</t>
        </is>
      </c>
      <c r="C25" s="2" t="inlineStr">
        <is>
          <t>Jackson</t>
        </is>
      </c>
      <c r="D25" s="2" t="inlineStr">
        <is>
          <t>Troost Ave Crew</t>
        </is>
      </c>
      <c r="E25" s="2" t="inlineStr">
        <is>
          <t>Leader</t>
        </is>
      </c>
      <c r="F25" s="2" t="inlineStr">
        <is>
          <t>Inactive</t>
        </is>
      </c>
      <c r="G25" s="2" t="inlineStr">
        <is>
          <t>06/14/1985</t>
        </is>
      </c>
      <c r="H25" s="2" t="inlineStr">
        <is>
          <t>H</t>
        </is>
      </c>
      <c r="I25" s="2" t="inlineStr">
        <is>
          <t>M</t>
        </is>
      </c>
      <c r="J25" s="2" t="inlineStr">
        <is>
          <t>Nadia Freeman</t>
        </is>
      </c>
      <c r="K25" s="2" t="inlineStr">
        <is>
          <t>Stipend</t>
        </is>
      </c>
      <c r="L25" s="2" t="inlineStr">
        <is>
          <t>02/09/2022</t>
        </is>
      </c>
      <c r="M25" s="2" t="inlineStr">
        <is>
          <t>None</t>
        </is>
      </c>
      <c r="N25" s="2" t="inlineStr">
        <is>
          <t>Prior conviction</t>
        </is>
      </c>
    </row>
    <row r="26">
      <c r="A26" s="2" t="inlineStr">
        <is>
          <t>Terrence Brown</t>
        </is>
      </c>
      <c r="B26" s="2" t="inlineStr">
        <is>
          <t>Terrence</t>
        </is>
      </c>
      <c r="C26" s="2" t="inlineStr">
        <is>
          <t>Brown</t>
        </is>
      </c>
      <c r="D26" s="2" t="inlineStr">
        <is>
          <t>Troost Ave Crew</t>
        </is>
      </c>
      <c r="E26" s="2" t="inlineStr">
        <is>
          <t>Leader</t>
        </is>
      </c>
      <c r="F26" s="2" t="inlineStr">
        <is>
          <t>Inactive (missing history)</t>
        </is>
      </c>
      <c r="G26" s="2" t="inlineStr">
        <is>
          <t>10/29/1982</t>
        </is>
      </c>
      <c r="H26" s="2" t="inlineStr">
        <is>
          <t>B</t>
        </is>
      </c>
      <c r="I26" s="2" t="inlineStr">
        <is>
          <t>M</t>
        </is>
      </c>
      <c r="J26" s="2" t="inlineStr">
        <is>
          <t>Mike Okafor</t>
        </is>
      </c>
      <c r="K26" s="2" t="inlineStr">
        <is>
          <t>Stipend</t>
        </is>
      </c>
      <c r="L26" s="2" t="inlineStr">
        <is>
          <t>01/07/2023</t>
        </is>
      </c>
      <c r="M26" s="2" t="inlineStr">
        <is>
          <t>None</t>
        </is>
      </c>
      <c r="N26" s="2" t="inlineStr"/>
    </row>
    <row r="27">
      <c r="A27" s="2" t="inlineStr">
        <is>
          <t>Kevin King</t>
        </is>
      </c>
      <c r="B27" s="2" t="inlineStr">
        <is>
          <t>Kevin</t>
        </is>
      </c>
      <c r="C27" s="2" t="inlineStr">
        <is>
          <t>King</t>
        </is>
      </c>
      <c r="D27" s="2" t="inlineStr">
        <is>
          <t>Troost Ave Crew</t>
        </is>
      </c>
      <c r="E27" s="2" t="inlineStr">
        <is>
          <t>Leader</t>
        </is>
      </c>
      <c r="F27" s="2" t="inlineStr">
        <is>
          <t>Inactive (missing history)</t>
        </is>
      </c>
      <c r="G27" s="2" t="inlineStr">
        <is>
          <t>09/16/1975</t>
        </is>
      </c>
      <c r="H27" s="2" t="inlineStr">
        <is>
          <t>W</t>
        </is>
      </c>
      <c r="I27" s="2" t="inlineStr">
        <is>
          <t>F</t>
        </is>
      </c>
      <c r="J27" s="2" t="inlineStr">
        <is>
          <t>Sandra Powell</t>
        </is>
      </c>
      <c r="K27" s="2" t="inlineStr">
        <is>
          <t>Network</t>
        </is>
      </c>
      <c r="L27" s="2" t="inlineStr">
        <is>
          <t>09/21/2023</t>
        </is>
      </c>
      <c r="M27" s="2" t="inlineStr">
        <is>
          <t>Bloods</t>
        </is>
      </c>
      <c r="N27" s="2" t="inlineStr"/>
    </row>
    <row r="28">
      <c r="A28" s="2" t="inlineStr">
        <is>
          <t>Dominique Walker</t>
        </is>
      </c>
      <c r="B28" s="2" t="inlineStr">
        <is>
          <t>Dominique</t>
        </is>
      </c>
      <c r="C28" s="2" t="inlineStr">
        <is>
          <t>Walker</t>
        </is>
      </c>
      <c r="D28" s="2" t="inlineStr">
        <is>
          <t>Troost Ave Crew</t>
        </is>
      </c>
      <c r="E28" s="2" t="inlineStr">
        <is>
          <t>Member</t>
        </is>
      </c>
      <c r="F28" s="2" t="inlineStr">
        <is>
          <t>Pending Review</t>
        </is>
      </c>
      <c r="G28" s="2" t="inlineStr">
        <is>
          <t>02/09/1995</t>
        </is>
      </c>
      <c r="H28" s="2" t="inlineStr">
        <is>
          <t>H</t>
        </is>
      </c>
      <c r="I28" s="2" t="inlineStr">
        <is>
          <t>M</t>
        </is>
      </c>
      <c r="J28" s="2" t="inlineStr">
        <is>
          <t>Greg Haines</t>
        </is>
      </c>
      <c r="K28" s="2" t="inlineStr">
        <is>
          <t>Network</t>
        </is>
      </c>
      <c r="L28" s="2" t="inlineStr">
        <is>
          <t>11/24/2025</t>
        </is>
      </c>
      <c r="M28" s="2" t="inlineStr">
        <is>
          <t>CVE</t>
        </is>
      </c>
      <c r="N28" s="2" t="inlineStr">
        <is>
          <t>Low engagement</t>
        </is>
      </c>
    </row>
    <row r="29">
      <c r="A29" s="2" t="inlineStr">
        <is>
          <t>Darnell Anderson</t>
        </is>
      </c>
      <c r="B29" s="2" t="inlineStr">
        <is>
          <t>Darnell</t>
        </is>
      </c>
      <c r="C29" s="2" t="inlineStr">
        <is>
          <t>Anderson</t>
        </is>
      </c>
      <c r="D29" s="2" t="inlineStr">
        <is>
          <t>Troost Ave Crew</t>
        </is>
      </c>
      <c r="E29" s="2" t="inlineStr">
        <is>
          <t>Associate</t>
        </is>
      </c>
      <c r="F29" s="2" t="inlineStr">
        <is>
          <t>Pending Review</t>
        </is>
      </c>
      <c r="G29" s="2" t="inlineStr">
        <is>
          <t>11/10/2003</t>
        </is>
      </c>
      <c r="H29" s="2" t="inlineStr">
        <is>
          <t>B</t>
        </is>
      </c>
      <c r="I29" s="2" t="inlineStr">
        <is>
          <t>M</t>
        </is>
      </c>
      <c r="J29" s="2" t="inlineStr">
        <is>
          <t>Greg Haines</t>
        </is>
      </c>
      <c r="K29" s="2" t="inlineStr">
        <is>
          <t>Mentor</t>
        </is>
      </c>
      <c r="L29" s="2" t="inlineStr">
        <is>
          <t>10/13/2023</t>
        </is>
      </c>
      <c r="M29" s="2" t="inlineStr">
        <is>
          <t>5150</t>
        </is>
      </c>
      <c r="N29" s="2" t="inlineStr"/>
    </row>
    <row r="30">
      <c r="A30" s="2" t="inlineStr">
        <is>
          <t>Shaquille Allen</t>
        </is>
      </c>
      <c r="B30" s="2" t="inlineStr">
        <is>
          <t>Shaquille</t>
        </is>
      </c>
      <c r="C30" s="2" t="inlineStr">
        <is>
          <t>Allen</t>
        </is>
      </c>
      <c r="D30" s="2" t="inlineStr">
        <is>
          <t>Troost Ave Crew</t>
        </is>
      </c>
      <c r="E30" s="2" t="inlineStr">
        <is>
          <t>Affiliate</t>
        </is>
      </c>
      <c r="F30" s="2" t="inlineStr">
        <is>
          <t>Pending Review</t>
        </is>
      </c>
      <c r="G30" s="2" t="inlineStr">
        <is>
          <t>04/19/1978</t>
        </is>
      </c>
      <c r="H30" s="2" t="inlineStr">
        <is>
          <t>B</t>
        </is>
      </c>
      <c r="I30" s="2" t="inlineStr">
        <is>
          <t>F</t>
        </is>
      </c>
      <c r="J30" s="2" t="inlineStr">
        <is>
          <t>Nadia Freeman</t>
        </is>
      </c>
      <c r="K30" s="2" t="inlineStr">
        <is>
          <t>Network</t>
        </is>
      </c>
      <c r="L30" s="2" t="inlineStr">
        <is>
          <t>09/27/2019</t>
        </is>
      </c>
      <c r="M30" s="2" t="inlineStr">
        <is>
          <t>BGF</t>
        </is>
      </c>
      <c r="N30" s="2" t="inlineStr">
        <is>
          <t>Currently on probation</t>
        </is>
      </c>
    </row>
    <row r="31">
      <c r="A31" s="2" t="inlineStr">
        <is>
          <t>Carlos Smith</t>
        </is>
      </c>
      <c r="B31" s="2" t="inlineStr">
        <is>
          <t>Carlos</t>
        </is>
      </c>
      <c r="C31" s="2" t="inlineStr">
        <is>
          <t>Smith</t>
        </is>
      </c>
      <c r="D31" s="2" t="inlineStr">
        <is>
          <t>Troost Ave Crew</t>
        </is>
      </c>
      <c r="E31" s="2" t="inlineStr">
        <is>
          <t>Associate</t>
        </is>
      </c>
      <c r="F31" s="2" t="inlineStr">
        <is>
          <t>Pending Review</t>
        </is>
      </c>
      <c r="G31" s="2" t="inlineStr">
        <is>
          <t>10/18/2001</t>
        </is>
      </c>
      <c r="H31" s="2" t="inlineStr">
        <is>
          <t>U</t>
        </is>
      </c>
      <c r="I31" s="2" t="inlineStr">
        <is>
          <t>F</t>
        </is>
      </c>
      <c r="J31" s="2" t="inlineStr">
        <is>
          <t>Greg Haines</t>
        </is>
      </c>
      <c r="K31" s="2" t="inlineStr">
        <is>
          <t>Mentor</t>
        </is>
      </c>
      <c r="L31" s="2" t="inlineStr">
        <is>
          <t>02/11/2020</t>
        </is>
      </c>
      <c r="M31" s="2" t="inlineStr">
        <is>
          <t>None</t>
        </is>
      </c>
      <c r="N31" s="2" t="inlineStr">
        <is>
          <t>Low engagement</t>
        </is>
      </c>
    </row>
    <row r="32">
      <c r="A32" s="2" t="inlineStr">
        <is>
          <t>Terrence Green</t>
        </is>
      </c>
      <c r="B32" s="2" t="inlineStr">
        <is>
          <t>Terrence</t>
        </is>
      </c>
      <c r="C32" s="2" t="inlineStr">
        <is>
          <t>Green</t>
        </is>
      </c>
      <c r="D32" s="2" t="inlineStr">
        <is>
          <t>Troost Ave Crew</t>
        </is>
      </c>
      <c r="E32" s="2" t="inlineStr">
        <is>
          <t>Member</t>
        </is>
      </c>
      <c r="F32" s="2" t="inlineStr">
        <is>
          <t>Inactive</t>
        </is>
      </c>
      <c r="G32" s="2" t="inlineStr">
        <is>
          <t>04/17/1994</t>
        </is>
      </c>
      <c r="H32" s="2" t="inlineStr">
        <is>
          <t>A</t>
        </is>
      </c>
      <c r="I32" s="2" t="inlineStr">
        <is>
          <t>M</t>
        </is>
      </c>
      <c r="J32" s="2" t="inlineStr">
        <is>
          <t>Greg Haines</t>
        </is>
      </c>
      <c r="K32" s="2" t="inlineStr">
        <is>
          <t>Outreach</t>
        </is>
      </c>
      <c r="L32" s="2" t="inlineStr">
        <is>
          <t>02/01/2024</t>
        </is>
      </c>
      <c r="M32" s="2" t="inlineStr">
        <is>
          <t>Rolling 60s</t>
        </is>
      </c>
      <c r="N32" s="2" t="inlineStr">
        <is>
          <t>Recently relocated</t>
        </is>
      </c>
    </row>
    <row r="33">
      <c r="A33" s="2" t="inlineStr">
        <is>
          <t>Kelvin Smith</t>
        </is>
      </c>
      <c r="B33" s="2" t="inlineStr">
        <is>
          <t>Kelvin</t>
        </is>
      </c>
      <c r="C33" s="2" t="inlineStr">
        <is>
          <t>Smith</t>
        </is>
      </c>
      <c r="D33" s="2" t="inlineStr">
        <is>
          <t>Troost Ave Crew</t>
        </is>
      </c>
      <c r="E33" s="2" t="inlineStr">
        <is>
          <t>Member</t>
        </is>
      </c>
      <c r="F33" s="2" t="inlineStr">
        <is>
          <t>Inactive (missing history)</t>
        </is>
      </c>
      <c r="G33" s="2" t="inlineStr">
        <is>
          <t>02/22/1994</t>
        </is>
      </c>
      <c r="H33" s="2" t="inlineStr">
        <is>
          <t>H</t>
        </is>
      </c>
      <c r="I33" s="2" t="inlineStr">
        <is>
          <t>F</t>
        </is>
      </c>
      <c r="J33" s="2" t="inlineStr">
        <is>
          <t>Latasha Rivera</t>
        </is>
      </c>
      <c r="K33" s="2" t="inlineStr">
        <is>
          <t>Network</t>
        </is>
      </c>
      <c r="L33" s="2" t="inlineStr">
        <is>
          <t>04/26/2024</t>
        </is>
      </c>
      <c r="M33" s="2" t="inlineStr">
        <is>
          <t>CVE</t>
        </is>
      </c>
      <c r="N33" s="2" t="inlineStr"/>
    </row>
    <row r="34">
      <c r="A34" s="2" t="inlineStr">
        <is>
          <t>Brandon Green</t>
        </is>
      </c>
      <c r="B34" s="2" t="inlineStr">
        <is>
          <t>Brandon</t>
        </is>
      </c>
      <c r="C34" s="2" t="inlineStr">
        <is>
          <t>Green</t>
        </is>
      </c>
      <c r="D34" s="2" t="inlineStr">
        <is>
          <t>Blue Hills Network</t>
        </is>
      </c>
      <c r="E34" s="2" t="inlineStr">
        <is>
          <t>Member</t>
        </is>
      </c>
      <c r="F34" s="2" t="inlineStr">
        <is>
          <t>Active</t>
        </is>
      </c>
      <c r="G34" s="2" t="inlineStr">
        <is>
          <t>05/16/1994</t>
        </is>
      </c>
      <c r="H34" s="2" t="inlineStr">
        <is>
          <t>B</t>
        </is>
      </c>
      <c r="I34" s="2" t="inlineStr">
        <is>
          <t>F</t>
        </is>
      </c>
      <c r="J34" s="2" t="inlineStr">
        <is>
          <t>Mike Okafor</t>
        </is>
      </c>
      <c r="K34" s="2" t="inlineStr">
        <is>
          <t>Stipend</t>
        </is>
      </c>
      <c r="L34" s="2" t="inlineStr">
        <is>
          <t>07/30/2025</t>
        </is>
      </c>
      <c r="M34" s="2" t="inlineStr">
        <is>
          <t>Bloods</t>
        </is>
      </c>
      <c r="N34" s="2" t="inlineStr">
        <is>
          <t>High risk</t>
        </is>
      </c>
    </row>
    <row r="35">
      <c r="A35" s="2" t="inlineStr">
        <is>
          <t>Lamar Davis</t>
        </is>
      </c>
      <c r="B35" s="2" t="inlineStr">
        <is>
          <t>Lamar</t>
        </is>
      </c>
      <c r="C35" s="2" t="inlineStr">
        <is>
          <t>Davis</t>
        </is>
      </c>
      <c r="D35" s="2" t="inlineStr">
        <is>
          <t>Blue Hills Network</t>
        </is>
      </c>
      <c r="E35" s="2" t="inlineStr">
        <is>
          <t>Associate</t>
        </is>
      </c>
      <c r="F35" s="2" t="inlineStr">
        <is>
          <t>Active</t>
        </is>
      </c>
      <c r="G35" s="2" t="inlineStr">
        <is>
          <t>06/05/1993</t>
        </is>
      </c>
      <c r="H35" s="2" t="inlineStr">
        <is>
          <t>H</t>
        </is>
      </c>
      <c r="I35" s="2" t="inlineStr">
        <is>
          <t>F</t>
        </is>
      </c>
      <c r="J35" s="2" t="inlineStr">
        <is>
          <t>Sandra Powell</t>
        </is>
      </c>
      <c r="K35" s="2" t="inlineStr">
        <is>
          <t>Outreach</t>
        </is>
      </c>
      <c r="L35" s="2" t="inlineStr">
        <is>
          <t>09/25/2025</t>
        </is>
      </c>
      <c r="M35" s="2" t="inlineStr">
        <is>
          <t>GD</t>
        </is>
      </c>
      <c r="N35" s="2" t="inlineStr">
        <is>
          <t>Currently on probation</t>
        </is>
      </c>
    </row>
    <row r="36">
      <c r="A36" s="2" t="inlineStr">
        <is>
          <t>Antoine Smith</t>
        </is>
      </c>
      <c r="B36" s="2" t="inlineStr">
        <is>
          <t>Antoine</t>
        </is>
      </c>
      <c r="C36" s="2" t="inlineStr">
        <is>
          <t>Smith</t>
        </is>
      </c>
      <c r="D36" s="2" t="inlineStr">
        <is>
          <t>Blue Hills Network</t>
        </is>
      </c>
      <c r="E36" s="2" t="inlineStr">
        <is>
          <t>Member</t>
        </is>
      </c>
      <c r="F36" s="2" t="inlineStr">
        <is>
          <t>Inactive</t>
        </is>
      </c>
      <c r="G36" s="2" t="inlineStr">
        <is>
          <t>12/10/1981</t>
        </is>
      </c>
      <c r="H36" s="2" t="inlineStr">
        <is>
          <t>A</t>
        </is>
      </c>
      <c r="I36" s="2" t="inlineStr">
        <is>
          <t>M</t>
        </is>
      </c>
      <c r="J36" s="2" t="inlineStr">
        <is>
          <t>Sandra Powell</t>
        </is>
      </c>
      <c r="K36" s="2" t="inlineStr">
        <is>
          <t>Outreach</t>
        </is>
      </c>
      <c r="L36" s="2" t="inlineStr">
        <is>
          <t>03/28/2025</t>
        </is>
      </c>
      <c r="M36" s="2" t="inlineStr">
        <is>
          <t>GD</t>
        </is>
      </c>
      <c r="N36" s="2" t="inlineStr"/>
    </row>
    <row r="37">
      <c r="A37" s="2" t="inlineStr">
        <is>
          <t>Malik Walker</t>
        </is>
      </c>
      <c r="B37" s="2" t="inlineStr">
        <is>
          <t>Malik</t>
        </is>
      </c>
      <c r="C37" s="2" t="inlineStr">
        <is>
          <t>Walker</t>
        </is>
      </c>
      <c r="D37" s="2" t="inlineStr">
        <is>
          <t>Blue Hills Network</t>
        </is>
      </c>
      <c r="E37" s="2" t="inlineStr">
        <is>
          <t>Associate</t>
        </is>
      </c>
      <c r="F37" s="2" t="inlineStr">
        <is>
          <t>Inactive</t>
        </is>
      </c>
      <c r="G37" s="2" t="inlineStr">
        <is>
          <t>04/01/1994</t>
        </is>
      </c>
      <c r="H37" s="2" t="inlineStr">
        <is>
          <t>U</t>
        </is>
      </c>
      <c r="I37" s="2" t="inlineStr">
        <is>
          <t>M</t>
        </is>
      </c>
      <c r="J37" s="2" t="inlineStr">
        <is>
          <t>Nadia Freeman</t>
        </is>
      </c>
      <c r="K37" s="2" t="inlineStr">
        <is>
          <t>Outreach</t>
        </is>
      </c>
      <c r="L37" s="2" t="inlineStr">
        <is>
          <t>04/29/2019</t>
        </is>
      </c>
      <c r="M37" s="2" t="inlineStr">
        <is>
          <t>BGF</t>
        </is>
      </c>
      <c r="N37" s="2" t="inlineStr">
        <is>
          <t>Currently on probation</t>
        </is>
      </c>
    </row>
    <row r="38">
      <c r="A38" s="2" t="inlineStr">
        <is>
          <t>Rafael Thomas</t>
        </is>
      </c>
      <c r="B38" s="2" t="inlineStr">
        <is>
          <t>Rafael</t>
        </is>
      </c>
      <c r="C38" s="2" t="inlineStr">
        <is>
          <t>Thomas</t>
        </is>
      </c>
      <c r="D38" s="2" t="inlineStr">
        <is>
          <t>Swope Park Riders</t>
        </is>
      </c>
      <c r="E38" s="2" t="inlineStr">
        <is>
          <t>Associate</t>
        </is>
      </c>
      <c r="F38" s="2" t="inlineStr">
        <is>
          <t>Inactive (missing history)</t>
        </is>
      </c>
      <c r="G38" s="2" t="inlineStr">
        <is>
          <t>09/30/1990</t>
        </is>
      </c>
      <c r="H38" s="2" t="inlineStr">
        <is>
          <t>B</t>
        </is>
      </c>
      <c r="I38" s="2" t="inlineStr">
        <is>
          <t>M</t>
        </is>
      </c>
      <c r="J38" s="2" t="inlineStr">
        <is>
          <t>Mike Okafor</t>
        </is>
      </c>
      <c r="K38" s="2" t="inlineStr">
        <is>
          <t>Mentor</t>
        </is>
      </c>
      <c r="L38" s="2" t="inlineStr">
        <is>
          <t>10/13/2019</t>
        </is>
      </c>
      <c r="M38" s="2" t="inlineStr">
        <is>
          <t>BGF</t>
        </is>
      </c>
      <c r="N38" s="2" t="inlineStr">
        <is>
          <t>Low engagement</t>
        </is>
      </c>
    </row>
    <row r="39">
      <c r="A39" s="2" t="inlineStr">
        <is>
          <t>Carlos Scott</t>
        </is>
      </c>
      <c r="B39" s="2" t="inlineStr">
        <is>
          <t>Carlos</t>
        </is>
      </c>
      <c r="C39" s="2" t="inlineStr">
        <is>
          <t>Scott</t>
        </is>
      </c>
      <c r="D39" s="2" t="inlineStr">
        <is>
          <t>Swope Park Riders</t>
        </is>
      </c>
      <c r="E39" s="2" t="inlineStr">
        <is>
          <t>Member</t>
        </is>
      </c>
      <c r="F39" s="2" t="inlineStr">
        <is>
          <t>Active</t>
        </is>
      </c>
      <c r="G39" s="2" t="inlineStr">
        <is>
          <t>10/18/1998</t>
        </is>
      </c>
      <c r="H39" s="2" t="inlineStr">
        <is>
          <t>W</t>
        </is>
      </c>
      <c r="I39" s="2" t="inlineStr">
        <is>
          <t>F</t>
        </is>
      </c>
      <c r="J39" s="2" t="inlineStr">
        <is>
          <t>Greg Haines</t>
        </is>
      </c>
      <c r="K39" s="2" t="inlineStr">
        <is>
          <t>Mentor</t>
        </is>
      </c>
      <c r="L39" s="2" t="inlineStr">
        <is>
          <t>10/28/2022</t>
        </is>
      </c>
      <c r="M39" s="2" t="inlineStr">
        <is>
          <t>BGF</t>
        </is>
      </c>
      <c r="N39" s="2" t="inlineStr">
        <is>
          <t>Currently on probation</t>
        </is>
      </c>
    </row>
    <row r="40">
      <c r="A40" s="2" t="inlineStr">
        <is>
          <t>Cortez Walker</t>
        </is>
      </c>
      <c r="B40" s="2" t="inlineStr">
        <is>
          <t>Cortez</t>
        </is>
      </c>
      <c r="C40" s="2" t="inlineStr">
        <is>
          <t>Walker</t>
        </is>
      </c>
      <c r="D40" s="2" t="inlineStr">
        <is>
          <t>Swope Park Riders</t>
        </is>
      </c>
      <c r="E40" s="2" t="inlineStr">
        <is>
          <t>Associate</t>
        </is>
      </c>
      <c r="F40" s="2" t="inlineStr">
        <is>
          <t>Inactive (missing history)</t>
        </is>
      </c>
      <c r="G40" s="2" t="inlineStr">
        <is>
          <t>06/17/2000</t>
        </is>
      </c>
      <c r="H40" s="2" t="inlineStr">
        <is>
          <t>U</t>
        </is>
      </c>
      <c r="I40" s="2" t="inlineStr">
        <is>
          <t>M</t>
        </is>
      </c>
      <c r="J40" s="2" t="inlineStr">
        <is>
          <t>Sandra Powell</t>
        </is>
      </c>
      <c r="K40" s="2" t="inlineStr">
        <is>
          <t>Network</t>
        </is>
      </c>
      <c r="L40" s="2" t="inlineStr">
        <is>
          <t>10/06/2020</t>
        </is>
      </c>
      <c r="M40" s="2" t="inlineStr">
        <is>
          <t>None</t>
        </is>
      </c>
      <c r="N40" s="2" t="inlineStr">
        <is>
          <t>High risk</t>
        </is>
      </c>
    </row>
    <row r="41">
      <c r="A41" s="2" t="inlineStr">
        <is>
          <t>Rodney Scott</t>
        </is>
      </c>
      <c r="B41" s="2" t="inlineStr">
        <is>
          <t>Rodney</t>
        </is>
      </c>
      <c r="C41" s="2" t="inlineStr">
        <is>
          <t>Scott</t>
        </is>
      </c>
      <c r="D41" s="2" t="inlineStr">
        <is>
          <t>Swope Park Riders</t>
        </is>
      </c>
      <c r="E41" s="2" t="inlineStr">
        <is>
          <t>Member</t>
        </is>
      </c>
      <c r="F41" s="2" t="inlineStr">
        <is>
          <t>Active</t>
        </is>
      </c>
      <c r="G41" s="2" t="inlineStr">
        <is>
          <t>03/17/1987</t>
        </is>
      </c>
      <c r="H41" s="2" t="inlineStr">
        <is>
          <t>A</t>
        </is>
      </c>
      <c r="I41" s="2" t="inlineStr">
        <is>
          <t>F</t>
        </is>
      </c>
      <c r="J41" s="2" t="inlineStr">
        <is>
          <t>Greg Haines</t>
        </is>
      </c>
      <c r="K41" s="2" t="inlineStr">
        <is>
          <t>Mentor</t>
        </is>
      </c>
      <c r="L41" s="2" t="inlineStr">
        <is>
          <t>08/24/2023</t>
        </is>
      </c>
      <c r="M41" s="2" t="inlineStr">
        <is>
          <t>GD</t>
        </is>
      </c>
      <c r="N41" s="2" t="inlineStr">
        <is>
          <t>Prior conviction</t>
        </is>
      </c>
    </row>
    <row r="42">
      <c r="A42" s="2" t="inlineStr">
        <is>
          <t>Dominique Brown</t>
        </is>
      </c>
      <c r="B42" s="2" t="inlineStr">
        <is>
          <t>Dominique</t>
        </is>
      </c>
      <c r="C42" s="2" t="inlineStr">
        <is>
          <t>Brown</t>
        </is>
      </c>
      <c r="D42" s="2" t="inlineStr">
        <is>
          <t>Swope Park Riders</t>
        </is>
      </c>
      <c r="E42" s="2" t="inlineStr">
        <is>
          <t>Member</t>
        </is>
      </c>
      <c r="F42" s="2" t="inlineStr">
        <is>
          <t>Inactive (missing history)</t>
        </is>
      </c>
      <c r="G42" s="2" t="inlineStr">
        <is>
          <t>04/14/1994</t>
        </is>
      </c>
      <c r="H42" s="2" t="inlineStr">
        <is>
          <t>B</t>
        </is>
      </c>
      <c r="I42" s="2" t="inlineStr">
        <is>
          <t>F</t>
        </is>
      </c>
      <c r="J42" s="2" t="inlineStr">
        <is>
          <t>Nadia Freeman</t>
        </is>
      </c>
      <c r="K42" s="2" t="inlineStr">
        <is>
          <t>Mentor</t>
        </is>
      </c>
      <c r="L42" s="2" t="inlineStr">
        <is>
          <t>11/28/2024</t>
        </is>
      </c>
      <c r="M42" s="2" t="inlineStr">
        <is>
          <t>5150</t>
        </is>
      </c>
      <c r="N42" s="2" t="inlineStr">
        <is>
          <t>Currently on probation</t>
        </is>
      </c>
    </row>
    <row r="43">
      <c r="A43" s="2" t="inlineStr">
        <is>
          <t>Malik Thomas</t>
        </is>
      </c>
      <c r="B43" s="2" t="inlineStr">
        <is>
          <t>Malik</t>
        </is>
      </c>
      <c r="C43" s="2" t="inlineStr">
        <is>
          <t>Thomas</t>
        </is>
      </c>
      <c r="D43" s="2" t="inlineStr">
        <is>
          <t>Swope Park Riders</t>
        </is>
      </c>
      <c r="E43" s="2" t="inlineStr">
        <is>
          <t>Member</t>
        </is>
      </c>
      <c r="F43" s="2" t="inlineStr">
        <is>
          <t>Inactive</t>
        </is>
      </c>
      <c r="G43" s="2" t="inlineStr">
        <is>
          <t>09/23/1992</t>
        </is>
      </c>
      <c r="H43" s="2" t="inlineStr">
        <is>
          <t>U</t>
        </is>
      </c>
      <c r="I43" s="2" t="inlineStr">
        <is>
          <t>M</t>
        </is>
      </c>
      <c r="J43" s="2" t="inlineStr">
        <is>
          <t>Sandra Powell</t>
        </is>
      </c>
      <c r="K43" s="2" t="inlineStr">
        <is>
          <t>Network</t>
        </is>
      </c>
      <c r="L43" s="2" t="inlineStr">
        <is>
          <t>05/19/2022</t>
        </is>
      </c>
      <c r="M43" s="2" t="inlineStr">
        <is>
          <t>BGF</t>
        </is>
      </c>
      <c r="N43" s="2" t="inlineStr"/>
    </row>
    <row r="44">
      <c r="A44" s="2" t="inlineStr">
        <is>
          <t>Malik Johnson</t>
        </is>
      </c>
      <c r="B44" s="2" t="inlineStr">
        <is>
          <t>Malik</t>
        </is>
      </c>
      <c r="C44" s="2" t="inlineStr">
        <is>
          <t>Johnson</t>
        </is>
      </c>
      <c r="D44" s="2" t="inlineStr">
        <is>
          <t>Swope Park Riders</t>
        </is>
      </c>
      <c r="E44" s="2" t="inlineStr">
        <is>
          <t>Leader</t>
        </is>
      </c>
      <c r="F44" s="2" t="inlineStr">
        <is>
          <t>Inactive (missing history)</t>
        </is>
      </c>
      <c r="G44" s="2" t="inlineStr">
        <is>
          <t>12/26/1987</t>
        </is>
      </c>
      <c r="H44" s="2" t="inlineStr">
        <is>
          <t>H</t>
        </is>
      </c>
      <c r="I44" s="2" t="inlineStr">
        <is>
          <t>M</t>
        </is>
      </c>
      <c r="J44" s="2" t="inlineStr">
        <is>
          <t>Sandra Powell</t>
        </is>
      </c>
      <c r="K44" s="2" t="inlineStr">
        <is>
          <t>Mentor</t>
        </is>
      </c>
      <c r="L44" s="2" t="inlineStr">
        <is>
          <t>10/30/2023</t>
        </is>
      </c>
      <c r="M44" s="2" t="inlineStr">
        <is>
          <t>BGF</t>
        </is>
      </c>
      <c r="N44" s="2" t="inlineStr">
        <is>
          <t>Prior conviction</t>
        </is>
      </c>
    </row>
    <row r="45">
      <c r="A45" s="2" t="inlineStr">
        <is>
          <t>Reggie Green</t>
        </is>
      </c>
      <c r="B45" s="2" t="inlineStr">
        <is>
          <t>Reggie</t>
        </is>
      </c>
      <c r="C45" s="2" t="inlineStr">
        <is>
          <t>Green</t>
        </is>
      </c>
      <c r="D45" s="2" t="inlineStr">
        <is>
          <t>Swope Park Riders</t>
        </is>
      </c>
      <c r="E45" s="2" t="inlineStr">
        <is>
          <t>Affiliate</t>
        </is>
      </c>
      <c r="F45" s="2" t="inlineStr">
        <is>
          <t>Inactive</t>
        </is>
      </c>
      <c r="G45" s="2" t="inlineStr">
        <is>
          <t>06/10/1997</t>
        </is>
      </c>
      <c r="H45" s="2" t="inlineStr">
        <is>
          <t>U</t>
        </is>
      </c>
      <c r="I45" s="2" t="inlineStr">
        <is>
          <t>F</t>
        </is>
      </c>
      <c r="J45" s="2" t="inlineStr">
        <is>
          <t>Sandra Powell</t>
        </is>
      </c>
      <c r="K45" s="2" t="inlineStr">
        <is>
          <t>Mentor</t>
        </is>
      </c>
      <c r="L45" s="2" t="inlineStr">
        <is>
          <t>06/23/2019</t>
        </is>
      </c>
      <c r="M45" s="2" t="inlineStr">
        <is>
          <t>Rolling 60s</t>
        </is>
      </c>
      <c r="N45" s="2" t="inlineStr"/>
    </row>
    <row r="46">
      <c r="A46" s="2" t="inlineStr">
        <is>
          <t>Terrence Johnson</t>
        </is>
      </c>
      <c r="B46" s="2" t="inlineStr">
        <is>
          <t>Terrence</t>
        </is>
      </c>
      <c r="C46" s="2" t="inlineStr">
        <is>
          <t>Johnson</t>
        </is>
      </c>
      <c r="D46" s="2" t="inlineStr">
        <is>
          <t>Swope Park Riders</t>
        </is>
      </c>
      <c r="E46" s="2" t="inlineStr">
        <is>
          <t>Affiliate</t>
        </is>
      </c>
      <c r="F46" s="2" t="inlineStr">
        <is>
          <t>Active</t>
        </is>
      </c>
      <c r="G46" s="2" t="inlineStr">
        <is>
          <t>01/16/1989</t>
        </is>
      </c>
      <c r="H46" s="2" t="inlineStr">
        <is>
          <t>U</t>
        </is>
      </c>
      <c r="I46" s="2" t="inlineStr">
        <is>
          <t>F</t>
        </is>
      </c>
      <c r="J46" s="2" t="inlineStr">
        <is>
          <t>Nadia Freeman</t>
        </is>
      </c>
      <c r="K46" s="2" t="inlineStr">
        <is>
          <t>Mentor</t>
        </is>
      </c>
      <c r="L46" s="2" t="inlineStr">
        <is>
          <t>09/07/2023</t>
        </is>
      </c>
      <c r="M46" s="2" t="inlineStr">
        <is>
          <t>GD</t>
        </is>
      </c>
      <c r="N46" s="2" t="inlineStr"/>
    </row>
    <row r="47">
      <c r="A47" s="2" t="inlineStr">
        <is>
          <t>Cortez Moore</t>
        </is>
      </c>
      <c r="B47" s="2" t="inlineStr">
        <is>
          <t>Cortez</t>
        </is>
      </c>
      <c r="C47" s="2" t="inlineStr">
        <is>
          <t>Moore</t>
        </is>
      </c>
      <c r="D47" s="2" t="inlineStr">
        <is>
          <t>Swope Park Riders</t>
        </is>
      </c>
      <c r="E47" s="2" t="inlineStr">
        <is>
          <t>Affiliate</t>
        </is>
      </c>
      <c r="F47" s="2" t="inlineStr">
        <is>
          <t>Active</t>
        </is>
      </c>
      <c r="G47" s="2" t="inlineStr">
        <is>
          <t>07/27/1989</t>
        </is>
      </c>
      <c r="H47" s="2" t="inlineStr">
        <is>
          <t>W</t>
        </is>
      </c>
      <c r="I47" s="2" t="inlineStr">
        <is>
          <t>F</t>
        </is>
      </c>
      <c r="J47" s="2" t="inlineStr">
        <is>
          <t>Latasha Rivera</t>
        </is>
      </c>
      <c r="K47" s="2" t="inlineStr">
        <is>
          <t>Stipend</t>
        </is>
      </c>
      <c r="L47" s="2" t="inlineStr">
        <is>
          <t>11/24/2023</t>
        </is>
      </c>
      <c r="M47" s="2" t="inlineStr">
        <is>
          <t>None</t>
        </is>
      </c>
      <c r="N47" s="2" t="inlineStr"/>
    </row>
    <row r="48">
      <c r="A48" s="2" t="inlineStr">
        <is>
          <t>Darius Allen</t>
        </is>
      </c>
      <c r="B48" s="2" t="inlineStr">
        <is>
          <t>Darius</t>
        </is>
      </c>
      <c r="C48" s="2" t="inlineStr">
        <is>
          <t>Allen</t>
        </is>
      </c>
      <c r="D48" s="2" t="inlineStr">
        <is>
          <t>Northeast Bloc</t>
        </is>
      </c>
      <c r="E48" s="2" t="inlineStr">
        <is>
          <t>Leader</t>
        </is>
      </c>
      <c r="F48" s="2" t="inlineStr">
        <is>
          <t>Pending Review</t>
        </is>
      </c>
      <c r="G48" s="2" t="inlineStr">
        <is>
          <t>06/01/2001</t>
        </is>
      </c>
      <c r="H48" s="2" t="inlineStr">
        <is>
          <t>A</t>
        </is>
      </c>
      <c r="I48" s="2" t="inlineStr">
        <is>
          <t>M</t>
        </is>
      </c>
      <c r="J48" s="2" t="inlineStr">
        <is>
          <t>Greg Haines</t>
        </is>
      </c>
      <c r="K48" s="2" t="inlineStr">
        <is>
          <t>Outreach</t>
        </is>
      </c>
      <c r="L48" s="2" t="inlineStr">
        <is>
          <t>10/22/2022</t>
        </is>
      </c>
      <c r="M48" s="2" t="inlineStr">
        <is>
          <t>BGF</t>
        </is>
      </c>
      <c r="N48" s="2" t="inlineStr">
        <is>
          <t>Currently on probation</t>
        </is>
      </c>
    </row>
    <row r="49">
      <c r="A49" s="2" t="inlineStr">
        <is>
          <t>Tavian Robinson</t>
        </is>
      </c>
      <c r="B49" s="2" t="inlineStr">
        <is>
          <t>Tavian</t>
        </is>
      </c>
      <c r="C49" s="2" t="inlineStr">
        <is>
          <t>Robinson</t>
        </is>
      </c>
      <c r="D49" s="2" t="inlineStr">
        <is>
          <t>Northeast Bloc</t>
        </is>
      </c>
      <c r="E49" s="2" t="inlineStr">
        <is>
          <t>Leader</t>
        </is>
      </c>
      <c r="F49" s="2" t="inlineStr">
        <is>
          <t>Active</t>
        </is>
      </c>
      <c r="G49" s="2" t="inlineStr">
        <is>
          <t>11/24/1997</t>
        </is>
      </c>
      <c r="H49" s="2" t="inlineStr">
        <is>
          <t>B</t>
        </is>
      </c>
      <c r="I49" s="2" t="inlineStr">
        <is>
          <t>M</t>
        </is>
      </c>
      <c r="J49" s="2" t="inlineStr">
        <is>
          <t>Latasha Rivera</t>
        </is>
      </c>
      <c r="K49" s="2" t="inlineStr">
        <is>
          <t>Outreach</t>
        </is>
      </c>
      <c r="L49" s="2" t="inlineStr">
        <is>
          <t>08/27/2020</t>
        </is>
      </c>
      <c r="M49" s="2" t="inlineStr">
        <is>
          <t>BGF</t>
        </is>
      </c>
      <c r="N49" s="2" t="inlineStr"/>
    </row>
    <row r="50">
      <c r="A50" s="2" t="inlineStr">
        <is>
          <t>DeShawn King</t>
        </is>
      </c>
      <c r="B50" s="2" t="inlineStr">
        <is>
          <t>DeShawn</t>
        </is>
      </c>
      <c r="C50" s="2" t="inlineStr">
        <is>
          <t>King</t>
        </is>
      </c>
      <c r="D50" s="2" t="inlineStr">
        <is>
          <t>Northeast Bloc</t>
        </is>
      </c>
      <c r="E50" s="2" t="inlineStr">
        <is>
          <t>Leader</t>
        </is>
      </c>
      <c r="F50" s="2" t="inlineStr">
        <is>
          <t>Inactive (missing history)</t>
        </is>
      </c>
      <c r="G50" s="2" t="inlineStr">
        <is>
          <t>11/07/1983</t>
        </is>
      </c>
      <c r="H50" s="2" t="inlineStr">
        <is>
          <t>W</t>
        </is>
      </c>
      <c r="I50" s="2" t="inlineStr">
        <is>
          <t>M</t>
        </is>
      </c>
      <c r="J50" s="2" t="inlineStr">
        <is>
          <t>Sandra Powell</t>
        </is>
      </c>
      <c r="K50" s="2" t="inlineStr">
        <is>
          <t>Network</t>
        </is>
      </c>
      <c r="L50" s="2" t="inlineStr">
        <is>
          <t>07/16/2024</t>
        </is>
      </c>
      <c r="M50" s="2" t="inlineStr">
        <is>
          <t>Rolling 60s</t>
        </is>
      </c>
      <c r="N50" s="2" t="inlineStr"/>
    </row>
    <row r="51">
      <c r="A51" s="2" t="inlineStr">
        <is>
          <t>Terrence Thomas</t>
        </is>
      </c>
      <c r="B51" s="2" t="inlineStr">
        <is>
          <t>Terrence</t>
        </is>
      </c>
      <c r="C51" s="2" t="inlineStr">
        <is>
          <t>Thomas</t>
        </is>
      </c>
      <c r="D51" s="2" t="inlineStr">
        <is>
          <t>Northeast Bloc</t>
        </is>
      </c>
      <c r="E51" s="2" t="inlineStr">
        <is>
          <t>Affiliate</t>
        </is>
      </c>
      <c r="F51" s="2" t="inlineStr">
        <is>
          <t>Inactive (missing history)</t>
        </is>
      </c>
      <c r="G51" s="2" t="inlineStr">
        <is>
          <t>02/19/2003</t>
        </is>
      </c>
      <c r="H51" s="2" t="inlineStr">
        <is>
          <t>H</t>
        </is>
      </c>
      <c r="I51" s="2" t="inlineStr">
        <is>
          <t>M</t>
        </is>
      </c>
      <c r="J51" s="2" t="inlineStr">
        <is>
          <t>Greg Haines</t>
        </is>
      </c>
      <c r="K51" s="2" t="inlineStr">
        <is>
          <t>Stipend</t>
        </is>
      </c>
      <c r="L51" s="2" t="inlineStr">
        <is>
          <t>04/04/2024</t>
        </is>
      </c>
      <c r="M51" s="2" t="inlineStr">
        <is>
          <t>Rolling 60s</t>
        </is>
      </c>
      <c r="N51" s="2" t="inlineStr">
        <is>
          <t>Low engagement</t>
        </is>
      </c>
    </row>
    <row r="52">
      <c r="A52" s="2" t="inlineStr">
        <is>
          <t>Rodney Davis</t>
        </is>
      </c>
      <c r="B52" s="2" t="inlineStr">
        <is>
          <t>Rodney</t>
        </is>
      </c>
      <c r="C52" s="2" t="inlineStr">
        <is>
          <t>Davis</t>
        </is>
      </c>
      <c r="D52" s="2" t="inlineStr">
        <is>
          <t>Northeast Bloc</t>
        </is>
      </c>
      <c r="E52" s="2" t="inlineStr">
        <is>
          <t>Associate</t>
        </is>
      </c>
      <c r="F52" s="2" t="inlineStr">
        <is>
          <t>Inactive (missing history)</t>
        </is>
      </c>
      <c r="G52" s="2" t="inlineStr">
        <is>
          <t>07/12/2001</t>
        </is>
      </c>
      <c r="H52" s="2" t="inlineStr">
        <is>
          <t>B</t>
        </is>
      </c>
      <c r="I52" s="2" t="inlineStr">
        <is>
          <t>F</t>
        </is>
      </c>
      <c r="J52" s="2" t="inlineStr">
        <is>
          <t>Nadia Freeman</t>
        </is>
      </c>
      <c r="K52" s="2" t="inlineStr">
        <is>
          <t>Stipend</t>
        </is>
      </c>
      <c r="L52" s="2" t="inlineStr">
        <is>
          <t>06/25/2022</t>
        </is>
      </c>
      <c r="M52" s="2" t="inlineStr">
        <is>
          <t>Rolling 60s</t>
        </is>
      </c>
      <c r="N52" s="2" t="inlineStr">
        <is>
          <t>Recently relocated</t>
        </is>
      </c>
    </row>
    <row r="53">
      <c r="A53" s="2" t="inlineStr">
        <is>
          <t>Kevin Anderson</t>
        </is>
      </c>
      <c r="B53" s="2" t="inlineStr">
        <is>
          <t>Kevin</t>
        </is>
      </c>
      <c r="C53" s="2" t="inlineStr">
        <is>
          <t>Anderson</t>
        </is>
      </c>
      <c r="D53" s="2" t="inlineStr">
        <is>
          <t>Northeast Bloc</t>
        </is>
      </c>
      <c r="E53" s="2" t="inlineStr">
        <is>
          <t>Member</t>
        </is>
      </c>
      <c r="F53" s="2" t="inlineStr">
        <is>
          <t>Active</t>
        </is>
      </c>
      <c r="G53" s="2" t="inlineStr">
        <is>
          <t>07/17/1991</t>
        </is>
      </c>
      <c r="H53" s="2" t="inlineStr">
        <is>
          <t>H</t>
        </is>
      </c>
      <c r="I53" s="2" t="inlineStr">
        <is>
          <t>M</t>
        </is>
      </c>
      <c r="J53" s="2" t="inlineStr">
        <is>
          <t>Sandra Powell</t>
        </is>
      </c>
      <c r="K53" s="2" t="inlineStr">
        <is>
          <t>Mentor</t>
        </is>
      </c>
      <c r="L53" s="2" t="inlineStr">
        <is>
          <t>03/10/2024</t>
        </is>
      </c>
      <c r="M53" s="2" t="inlineStr">
        <is>
          <t>Bloods</t>
        </is>
      </c>
      <c r="N53" s="2" t="inlineStr">
        <is>
          <t>High risk</t>
        </is>
      </c>
    </row>
    <row r="54">
      <c r="A54" s="2" t="inlineStr">
        <is>
          <t>Jordan Davis</t>
        </is>
      </c>
      <c r="B54" s="2" t="inlineStr">
        <is>
          <t>Jordan</t>
        </is>
      </c>
      <c r="C54" s="2" t="inlineStr">
        <is>
          <t>Davis</t>
        </is>
      </c>
      <c r="D54" s="2" t="inlineStr">
        <is>
          <t>Northeast Bloc</t>
        </is>
      </c>
      <c r="E54" s="2" t="inlineStr">
        <is>
          <t>Member</t>
        </is>
      </c>
      <c r="F54" s="2" t="inlineStr">
        <is>
          <t>Pending Review</t>
        </is>
      </c>
      <c r="G54" s="2" t="inlineStr">
        <is>
          <t>08/23/2000</t>
        </is>
      </c>
      <c r="H54" s="2" t="inlineStr">
        <is>
          <t>W</t>
        </is>
      </c>
      <c r="I54" s="2" t="inlineStr">
        <is>
          <t>F</t>
        </is>
      </c>
      <c r="J54" s="2" t="inlineStr">
        <is>
          <t>Nadia Freeman</t>
        </is>
      </c>
      <c r="K54" s="2" t="inlineStr">
        <is>
          <t>Mentor</t>
        </is>
      </c>
      <c r="L54" s="2" t="inlineStr">
        <is>
          <t>08/15/2024</t>
        </is>
      </c>
      <c r="M54" s="2" t="inlineStr">
        <is>
          <t>BGF</t>
        </is>
      </c>
      <c r="N54" s="2" t="inlineStr"/>
    </row>
    <row r="55">
      <c r="A55" s="2" t="inlineStr">
        <is>
          <t>Cortez Walker</t>
        </is>
      </c>
      <c r="B55" s="2" t="inlineStr">
        <is>
          <t>Cortez</t>
        </is>
      </c>
      <c r="C55" s="2" t="inlineStr">
        <is>
          <t>Walker</t>
        </is>
      </c>
      <c r="D55" s="2" t="inlineStr">
        <is>
          <t>Northeast Bloc</t>
        </is>
      </c>
      <c r="E55" s="2" t="inlineStr">
        <is>
          <t>Affiliate</t>
        </is>
      </c>
      <c r="F55" s="2" t="inlineStr">
        <is>
          <t>Active</t>
        </is>
      </c>
      <c r="G55" s="2" t="inlineStr">
        <is>
          <t>05/28/1990</t>
        </is>
      </c>
      <c r="H55" s="2" t="inlineStr">
        <is>
          <t>B</t>
        </is>
      </c>
      <c r="I55" s="2" t="inlineStr">
        <is>
          <t>M</t>
        </is>
      </c>
      <c r="J55" s="2" t="inlineStr">
        <is>
          <t>Sandra Powell</t>
        </is>
      </c>
      <c r="K55" s="2" t="inlineStr">
        <is>
          <t>Network</t>
        </is>
      </c>
      <c r="L55" s="2" t="inlineStr">
        <is>
          <t>11/29/2023</t>
        </is>
      </c>
      <c r="M55" s="2" t="inlineStr">
        <is>
          <t>Rolling 60s</t>
        </is>
      </c>
      <c r="N55" s="2" t="inlineStr">
        <is>
          <t>High risk</t>
        </is>
      </c>
    </row>
    <row r="56">
      <c r="A56" s="2" t="inlineStr">
        <is>
          <t>Kevin Anderson</t>
        </is>
      </c>
      <c r="B56" s="2" t="inlineStr">
        <is>
          <t>Kevin</t>
        </is>
      </c>
      <c r="C56" s="2" t="inlineStr">
        <is>
          <t>Anderson</t>
        </is>
      </c>
      <c r="D56" s="2" t="inlineStr">
        <is>
          <t>Northeast Bloc</t>
        </is>
      </c>
      <c r="E56" s="2" t="inlineStr">
        <is>
          <t>Leader</t>
        </is>
      </c>
      <c r="F56" s="2" t="inlineStr">
        <is>
          <t>Inactive (missing history)</t>
        </is>
      </c>
      <c r="G56" s="2" t="inlineStr">
        <is>
          <t>09/22/1991</t>
        </is>
      </c>
      <c r="H56" s="2" t="inlineStr">
        <is>
          <t>H</t>
        </is>
      </c>
      <c r="I56" s="2" t="inlineStr">
        <is>
          <t>F</t>
        </is>
      </c>
      <c r="J56" s="2" t="inlineStr">
        <is>
          <t>Greg Haines</t>
        </is>
      </c>
      <c r="K56" s="2" t="inlineStr">
        <is>
          <t>Outreach</t>
        </is>
      </c>
      <c r="L56" s="2" t="inlineStr">
        <is>
          <t>09/14/2025</t>
        </is>
      </c>
      <c r="M56" s="2" t="inlineStr">
        <is>
          <t>CVE</t>
        </is>
      </c>
      <c r="N56" s="2" t="inlineStr"/>
    </row>
    <row r="57">
      <c r="A57" s="2" t="inlineStr">
        <is>
          <t>Cortez Brown</t>
        </is>
      </c>
      <c r="B57" s="2" t="inlineStr">
        <is>
          <t>Cortez</t>
        </is>
      </c>
      <c r="C57" s="2" t="inlineStr">
        <is>
          <t>Brown</t>
        </is>
      </c>
      <c r="D57" s="2" t="inlineStr">
        <is>
          <t>Ruskin Heights Clique</t>
        </is>
      </c>
      <c r="E57" s="2" t="inlineStr">
        <is>
          <t>Associate</t>
        </is>
      </c>
      <c r="F57" s="2" t="inlineStr">
        <is>
          <t>Active</t>
        </is>
      </c>
      <c r="G57" s="2" t="inlineStr">
        <is>
          <t>10/15/1989</t>
        </is>
      </c>
      <c r="H57" s="2" t="inlineStr">
        <is>
          <t>B</t>
        </is>
      </c>
      <c r="I57" s="2" t="inlineStr">
        <is>
          <t>F</t>
        </is>
      </c>
      <c r="J57" s="2" t="inlineStr">
        <is>
          <t>Latasha Rivera</t>
        </is>
      </c>
      <c r="K57" s="2" t="inlineStr">
        <is>
          <t>Outreach</t>
        </is>
      </c>
      <c r="L57" s="2" t="inlineStr">
        <is>
          <t>10/04/2025</t>
        </is>
      </c>
      <c r="M57" s="2" t="inlineStr">
        <is>
          <t>None</t>
        </is>
      </c>
      <c r="N57" s="2" t="inlineStr">
        <is>
          <t>Prior conviction</t>
        </is>
      </c>
    </row>
    <row r="58">
      <c r="A58" s="2" t="inlineStr">
        <is>
          <t>Antoine Jones</t>
        </is>
      </c>
      <c r="B58" s="2" t="inlineStr">
        <is>
          <t>Antoine</t>
        </is>
      </c>
      <c r="C58" s="2" t="inlineStr">
        <is>
          <t>Jones</t>
        </is>
      </c>
      <c r="D58" s="2" t="inlineStr">
        <is>
          <t>Ruskin Heights Clique</t>
        </is>
      </c>
      <c r="E58" s="2" t="inlineStr">
        <is>
          <t>Associate</t>
        </is>
      </c>
      <c r="F58" s="2" t="inlineStr">
        <is>
          <t>Active</t>
        </is>
      </c>
      <c r="G58" s="2" t="inlineStr">
        <is>
          <t>02/20/2001</t>
        </is>
      </c>
      <c r="H58" s="2" t="inlineStr">
        <is>
          <t>W</t>
        </is>
      </c>
      <c r="I58" s="2" t="inlineStr">
        <is>
          <t>F</t>
        </is>
      </c>
      <c r="J58" s="2" t="inlineStr">
        <is>
          <t>Latasha Rivera</t>
        </is>
      </c>
      <c r="K58" s="2" t="inlineStr">
        <is>
          <t>Mentor</t>
        </is>
      </c>
      <c r="L58" s="2" t="inlineStr">
        <is>
          <t>06/12/2020</t>
        </is>
      </c>
      <c r="M58" s="2" t="inlineStr">
        <is>
          <t>Bloods</t>
        </is>
      </c>
      <c r="N58" s="2" t="inlineStr">
        <is>
          <t>Low engagement</t>
        </is>
      </c>
    </row>
    <row r="59">
      <c r="A59" s="2" t="inlineStr">
        <is>
          <t>Darnell Thompson</t>
        </is>
      </c>
      <c r="B59" s="2" t="inlineStr">
        <is>
          <t>Darnell</t>
        </is>
      </c>
      <c r="C59" s="2" t="inlineStr">
        <is>
          <t>Thompson</t>
        </is>
      </c>
      <c r="D59" s="2" t="inlineStr">
        <is>
          <t>Ruskin Heights Clique</t>
        </is>
      </c>
      <c r="E59" s="2" t="inlineStr">
        <is>
          <t>Member</t>
        </is>
      </c>
      <c r="F59" s="2" t="inlineStr">
        <is>
          <t>Inactive (missing history)</t>
        </is>
      </c>
      <c r="G59" s="2" t="inlineStr">
        <is>
          <t>01/27/2000</t>
        </is>
      </c>
      <c r="H59" s="2" t="inlineStr">
        <is>
          <t>A</t>
        </is>
      </c>
      <c r="I59" s="2" t="inlineStr">
        <is>
          <t>F</t>
        </is>
      </c>
      <c r="J59" s="2" t="inlineStr">
        <is>
          <t>Mike Okafor</t>
        </is>
      </c>
      <c r="K59" s="2" t="inlineStr">
        <is>
          <t>Stipend</t>
        </is>
      </c>
      <c r="L59" s="2" t="inlineStr">
        <is>
          <t>10/01/2023</t>
        </is>
      </c>
      <c r="M59" s="2" t="inlineStr">
        <is>
          <t>Bloods</t>
        </is>
      </c>
      <c r="N59" s="2" t="inlineStr">
        <is>
          <t>Currently on probation</t>
        </is>
      </c>
    </row>
    <row r="60">
      <c r="A60" s="2" t="inlineStr">
        <is>
          <t>DeShawn Jones</t>
        </is>
      </c>
      <c r="B60" s="2" t="inlineStr">
        <is>
          <t>DeShawn</t>
        </is>
      </c>
      <c r="C60" s="2" t="inlineStr">
        <is>
          <t>Jones</t>
        </is>
      </c>
      <c r="D60" s="2" t="inlineStr">
        <is>
          <t>Ruskin Heights Clique</t>
        </is>
      </c>
      <c r="E60" s="2" t="inlineStr">
        <is>
          <t>Member</t>
        </is>
      </c>
      <c r="F60" s="2" t="inlineStr">
        <is>
          <t>Inactive (missing history)</t>
        </is>
      </c>
      <c r="G60" s="2" t="inlineStr">
        <is>
          <t>11/08/1988</t>
        </is>
      </c>
      <c r="H60" s="2" t="inlineStr">
        <is>
          <t>W</t>
        </is>
      </c>
      <c r="I60" s="2" t="inlineStr">
        <is>
          <t>M</t>
        </is>
      </c>
      <c r="J60" s="2" t="inlineStr">
        <is>
          <t>Latasha Rivera</t>
        </is>
      </c>
      <c r="K60" s="2" t="inlineStr">
        <is>
          <t>Mentor</t>
        </is>
      </c>
      <c r="L60" s="2" t="inlineStr">
        <is>
          <t>02/25/2021</t>
        </is>
      </c>
      <c r="M60" s="2" t="inlineStr">
        <is>
          <t>BGF</t>
        </is>
      </c>
      <c r="N60" s="2" t="inlineStr">
        <is>
          <t>Prior conviction</t>
        </is>
      </c>
    </row>
    <row r="61">
      <c r="A61" s="2" t="inlineStr">
        <is>
          <t>Cortez Moore</t>
        </is>
      </c>
      <c r="B61" s="2" t="inlineStr">
        <is>
          <t>Cortez</t>
        </is>
      </c>
      <c r="C61" s="2" t="inlineStr">
        <is>
          <t>Moore</t>
        </is>
      </c>
      <c r="D61" s="2" t="inlineStr">
        <is>
          <t>Ruskin Heights Clique</t>
        </is>
      </c>
      <c r="E61" s="2" t="inlineStr">
        <is>
          <t>Leader</t>
        </is>
      </c>
      <c r="F61" s="2" t="inlineStr">
        <is>
          <t>Active</t>
        </is>
      </c>
      <c r="G61" s="2" t="inlineStr">
        <is>
          <t>04/08/1988</t>
        </is>
      </c>
      <c r="H61" s="2" t="inlineStr">
        <is>
          <t>B</t>
        </is>
      </c>
      <c r="I61" s="2" t="inlineStr">
        <is>
          <t>M</t>
        </is>
      </c>
      <c r="J61" s="2" t="inlineStr">
        <is>
          <t>Latasha Rivera</t>
        </is>
      </c>
      <c r="K61" s="2" t="inlineStr">
        <is>
          <t>Network</t>
        </is>
      </c>
      <c r="L61" s="2" t="inlineStr">
        <is>
          <t>09/12/2025</t>
        </is>
      </c>
      <c r="M61" s="2" t="inlineStr">
        <is>
          <t>Rolling 60s</t>
        </is>
      </c>
      <c r="N61" s="2" t="inlineStr">
        <is>
          <t>Prior conviction</t>
        </is>
      </c>
    </row>
    <row r="62">
      <c r="A62" s="2" t="inlineStr">
        <is>
          <t>Carlos King</t>
        </is>
      </c>
      <c r="B62" s="2" t="inlineStr">
        <is>
          <t>Carlos</t>
        </is>
      </c>
      <c r="C62" s="2" t="inlineStr">
        <is>
          <t>King</t>
        </is>
      </c>
      <c r="D62" s="2" t="inlineStr">
        <is>
          <t>Ruskin Heights Clique</t>
        </is>
      </c>
      <c r="E62" s="2" t="inlineStr">
        <is>
          <t>Leader</t>
        </is>
      </c>
      <c r="F62" s="2" t="inlineStr">
        <is>
          <t>Inactive</t>
        </is>
      </c>
      <c r="G62" s="2" t="inlineStr">
        <is>
          <t>01/29/2006</t>
        </is>
      </c>
      <c r="H62" s="2" t="inlineStr">
        <is>
          <t>U</t>
        </is>
      </c>
      <c r="I62" s="2" t="inlineStr">
        <is>
          <t>M</t>
        </is>
      </c>
      <c r="J62" s="2" t="inlineStr">
        <is>
          <t>Greg Haines</t>
        </is>
      </c>
      <c r="K62" s="2" t="inlineStr">
        <is>
          <t>Stipend</t>
        </is>
      </c>
      <c r="L62" s="2" t="inlineStr">
        <is>
          <t>08/10/2023</t>
        </is>
      </c>
      <c r="M62" s="2" t="inlineStr">
        <is>
          <t>GD</t>
        </is>
      </c>
      <c r="N62" s="2" t="inlineStr">
        <is>
          <t>Low engagement</t>
        </is>
      </c>
    </row>
    <row r="63">
      <c r="A63" s="2" t="inlineStr">
        <is>
          <t>Cortez Harris</t>
        </is>
      </c>
      <c r="B63" s="2" t="inlineStr">
        <is>
          <t>Cortez</t>
        </is>
      </c>
      <c r="C63" s="2" t="inlineStr">
        <is>
          <t>Harris</t>
        </is>
      </c>
      <c r="D63" s="2" t="inlineStr">
        <is>
          <t>Ruskin Heights Clique</t>
        </is>
      </c>
      <c r="E63" s="2" t="inlineStr">
        <is>
          <t>Leader</t>
        </is>
      </c>
      <c r="F63" s="2" t="inlineStr">
        <is>
          <t>Pending Review</t>
        </is>
      </c>
      <c r="G63" s="2" t="inlineStr">
        <is>
          <t>05/22/2002</t>
        </is>
      </c>
      <c r="H63" s="2" t="inlineStr">
        <is>
          <t>H</t>
        </is>
      </c>
      <c r="I63" s="2" t="inlineStr">
        <is>
          <t>F</t>
        </is>
      </c>
      <c r="J63" s="2" t="inlineStr">
        <is>
          <t>Mike Okafor</t>
        </is>
      </c>
      <c r="K63" s="2" t="inlineStr">
        <is>
          <t>Network</t>
        </is>
      </c>
      <c r="L63" s="2" t="inlineStr">
        <is>
          <t>06/21/2022</t>
        </is>
      </c>
      <c r="M63" s="2" t="inlineStr">
        <is>
          <t>None</t>
        </is>
      </c>
      <c r="N63" s="2" t="inlineStr"/>
    </row>
    <row r="64">
      <c r="A64" s="2" t="inlineStr">
        <is>
          <t>Jamal Jones</t>
        </is>
      </c>
      <c r="B64" s="2" t="inlineStr">
        <is>
          <t>Jamal</t>
        </is>
      </c>
      <c r="C64" s="2" t="inlineStr">
        <is>
          <t>Jones</t>
        </is>
      </c>
      <c r="D64" s="2" t="inlineStr">
        <is>
          <t>Ruskin Heights Clique</t>
        </is>
      </c>
      <c r="E64" s="2" t="inlineStr">
        <is>
          <t>Affiliate</t>
        </is>
      </c>
      <c r="F64" s="2" t="inlineStr">
        <is>
          <t>Inactive</t>
        </is>
      </c>
      <c r="G64" s="2" t="inlineStr">
        <is>
          <t>07/02/1991</t>
        </is>
      </c>
      <c r="H64" s="2" t="inlineStr">
        <is>
          <t>U</t>
        </is>
      </c>
      <c r="I64" s="2" t="inlineStr">
        <is>
          <t>F</t>
        </is>
      </c>
      <c r="J64" s="2" t="inlineStr">
        <is>
          <t>Greg Haines</t>
        </is>
      </c>
      <c r="K64" s="2" t="inlineStr">
        <is>
          <t>Outreach</t>
        </is>
      </c>
      <c r="L64" s="2" t="inlineStr">
        <is>
          <t>04/14/2023</t>
        </is>
      </c>
      <c r="M64" s="2" t="inlineStr">
        <is>
          <t>Bloods</t>
        </is>
      </c>
      <c r="N64" s="2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4.3" customWidth="1" min="2" max="2"/>
    <col width="14.3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2.1" customWidth="1" min="9" max="9"/>
    <col width="10" customWidth="1" min="10" max="10"/>
    <col width="10" customWidth="1" min="11" max="11"/>
    <col width="10" customWidth="1" min="12" max="12"/>
    <col width="14.3" customWidth="1" min="13" max="13"/>
    <col width="23.1" customWidth="1" min="14" max="14"/>
    <col width="18.7" customWidth="1" min="15" max="15"/>
    <col width="10" customWidth="1" min="16" max="16"/>
    <col width="10" customWidth="1" min="17" max="17"/>
  </cols>
  <sheetData>
    <row r="1">
      <c r="A1" s="4" t="inlineStr">
        <is>
          <t>Report_No</t>
        </is>
      </c>
      <c r="B1" s="4" t="inlineStr">
        <is>
          <t>Reported_Date</t>
        </is>
      </c>
      <c r="C1" s="4" t="inlineStr">
        <is>
          <t>Reported_Time</t>
        </is>
      </c>
      <c r="D1" s="4" t="inlineStr">
        <is>
          <t>Offense</t>
        </is>
      </c>
      <c r="E1" s="4" t="inlineStr">
        <is>
          <t>IBRS</t>
        </is>
      </c>
      <c r="F1" s="4" t="inlineStr">
        <is>
          <t>Beat</t>
        </is>
      </c>
      <c r="G1" s="4" t="inlineStr">
        <is>
          <t>Area</t>
        </is>
      </c>
      <c r="H1" s="4" t="inlineStr">
        <is>
          <t>DVFlag</t>
        </is>
      </c>
      <c r="I1" s="4" t="inlineStr">
        <is>
          <t>Involvement</t>
        </is>
      </c>
      <c r="J1" s="4" t="inlineStr">
        <is>
          <t>Race</t>
        </is>
      </c>
      <c r="K1" s="4" t="inlineStr">
        <is>
          <t>Sex</t>
        </is>
      </c>
      <c r="L1" s="4" t="inlineStr">
        <is>
          <t>Age</t>
        </is>
      </c>
      <c r="M1" s="4" t="inlineStr">
        <is>
          <t>Fire_Arm_Used</t>
        </is>
      </c>
      <c r="N1" s="4" t="inlineStr">
        <is>
          <t>Crew_Linked</t>
        </is>
      </c>
      <c r="O1" s="4" t="inlineStr">
        <is>
          <t>Individual_Linked</t>
        </is>
      </c>
      <c r="P1" s="4" t="inlineStr">
        <is>
          <t>Lat</t>
        </is>
      </c>
      <c r="Q1" s="4" t="inlineStr">
        <is>
          <t>Long</t>
        </is>
      </c>
    </row>
    <row r="2">
      <c r="A2" s="2" t="inlineStr">
        <is>
          <t>KC202557739</t>
        </is>
      </c>
      <c r="B2" s="2" t="inlineStr">
        <is>
          <t>09/24/2025</t>
        </is>
      </c>
      <c r="C2" s="2" t="inlineStr">
        <is>
          <t>13:04</t>
        </is>
      </c>
      <c r="D2" s="2" t="inlineStr">
        <is>
          <t>Robbery</t>
        </is>
      </c>
      <c r="E2" s="2" t="inlineStr">
        <is>
          <t>120</t>
        </is>
      </c>
      <c r="F2" s="2" t="inlineStr">
        <is>
          <t>312</t>
        </is>
      </c>
      <c r="G2" s="2" t="inlineStr">
        <is>
          <t>MPD</t>
        </is>
      </c>
      <c r="H2" s="2" t="b">
        <v>0</v>
      </c>
      <c r="I2" s="2" t="inlineStr">
        <is>
          <t>SUS</t>
        </is>
      </c>
      <c r="J2" s="2" t="inlineStr">
        <is>
          <t>H</t>
        </is>
      </c>
      <c r="K2" s="2" t="inlineStr">
        <is>
          <t>F</t>
        </is>
      </c>
      <c r="L2" s="2" t="n">
        <v>28</v>
      </c>
      <c r="M2" s="2" t="b">
        <v>1</v>
      </c>
      <c r="N2" s="2" t="inlineStr">
        <is>
          <t>Prospect Hill Boys</t>
        </is>
      </c>
      <c r="O2" s="2" t="inlineStr">
        <is>
          <t>Cortez Walker</t>
        </is>
      </c>
      <c r="P2" s="2" t="n">
        <v>39.08315</v>
      </c>
      <c r="Q2" s="2" t="n">
        <v>-94.58009</v>
      </c>
    </row>
    <row r="3">
      <c r="A3" s="2" t="inlineStr">
        <is>
          <t>KC202597153</t>
        </is>
      </c>
      <c r="B3" s="2" t="inlineStr">
        <is>
          <t>03/07/2025</t>
        </is>
      </c>
      <c r="C3" s="2" t="inlineStr">
        <is>
          <t>12:43</t>
        </is>
      </c>
      <c r="D3" s="2" t="inlineStr">
        <is>
          <t>Property Damage</t>
        </is>
      </c>
      <c r="E3" s="2" t="inlineStr">
        <is>
          <t>290</t>
        </is>
      </c>
      <c r="F3" s="2" t="inlineStr">
        <is>
          <t>411</t>
        </is>
      </c>
      <c r="G3" s="2" t="inlineStr">
        <is>
          <t>EPD</t>
        </is>
      </c>
      <c r="H3" s="2" t="b">
        <v>0</v>
      </c>
      <c r="I3" s="2" t="inlineStr">
        <is>
          <t>WIT</t>
        </is>
      </c>
      <c r="J3" s="2" t="inlineStr">
        <is>
          <t>U</t>
        </is>
      </c>
      <c r="K3" s="2" t="inlineStr">
        <is>
          <t>M</t>
        </is>
      </c>
      <c r="L3" s="2" t="n">
        <v>42</v>
      </c>
      <c r="M3" s="2" t="b">
        <v>0</v>
      </c>
      <c r="N3" s="2" t="inlineStr">
        <is>
          <t>Prospect Hill Boys</t>
        </is>
      </c>
      <c r="O3" s="2" t="inlineStr">
        <is>
          <t>Jordan King</t>
        </is>
      </c>
      <c r="P3" s="2" t="n">
        <v>39.08084</v>
      </c>
      <c r="Q3" s="2" t="n">
        <v>-94.5774</v>
      </c>
    </row>
    <row r="4">
      <c r="A4" s="2" t="inlineStr">
        <is>
          <t>KC202570946</t>
        </is>
      </c>
      <c r="B4" s="2" t="inlineStr">
        <is>
          <t>10/24/2025</t>
        </is>
      </c>
      <c r="C4" s="2" t="inlineStr">
        <is>
          <t>14:28</t>
        </is>
      </c>
      <c r="D4" s="2" t="inlineStr">
        <is>
          <t>Trespass</t>
        </is>
      </c>
      <c r="E4" s="2" t="inlineStr">
        <is>
          <t>90J</t>
        </is>
      </c>
      <c r="F4" s="2" t="inlineStr">
        <is>
          <t>312</t>
        </is>
      </c>
      <c r="G4" s="2" t="inlineStr">
        <is>
          <t>EPD</t>
        </is>
      </c>
      <c r="H4" s="2" t="b">
        <v>0</v>
      </c>
      <c r="I4" s="2" t="inlineStr">
        <is>
          <t>VIC</t>
        </is>
      </c>
      <c r="J4" s="2" t="inlineStr">
        <is>
          <t>B</t>
        </is>
      </c>
      <c r="K4" s="2" t="inlineStr">
        <is>
          <t>F</t>
        </is>
      </c>
      <c r="L4" s="2" t="n">
        <v>36</v>
      </c>
      <c r="M4" s="2" t="b">
        <v>0</v>
      </c>
      <c r="N4" s="2" t="inlineStr">
        <is>
          <t>Prospect Hill Boys</t>
        </is>
      </c>
      <c r="O4" s="2" t="inlineStr">
        <is>
          <t>DeShawn Jackson</t>
        </is>
      </c>
      <c r="P4" s="2" t="n">
        <v>39.08838</v>
      </c>
      <c r="Q4" s="2" t="n">
        <v>-94.57361</v>
      </c>
    </row>
    <row r="5">
      <c r="A5" s="2" t="inlineStr">
        <is>
          <t>KC202639444</t>
        </is>
      </c>
      <c r="B5" s="2" t="inlineStr">
        <is>
          <t>02/24/2026</t>
        </is>
      </c>
      <c r="C5" s="2" t="inlineStr">
        <is>
          <t>06:09</t>
        </is>
      </c>
      <c r="D5" s="2" t="inlineStr">
        <is>
          <t>Property Damage</t>
        </is>
      </c>
      <c r="E5" s="2" t="inlineStr">
        <is>
          <t>290</t>
        </is>
      </c>
      <c r="F5" s="2" t="inlineStr">
        <is>
          <t>111</t>
        </is>
      </c>
      <c r="G5" s="2" t="inlineStr">
        <is>
          <t>CPD</t>
        </is>
      </c>
      <c r="H5" s="2" t="b">
        <v>1</v>
      </c>
      <c r="I5" s="2" t="inlineStr">
        <is>
          <t>WIT</t>
        </is>
      </c>
      <c r="J5" s="2" t="inlineStr">
        <is>
          <t>U</t>
        </is>
      </c>
      <c r="K5" s="2" t="inlineStr">
        <is>
          <t>M</t>
        </is>
      </c>
      <c r="L5" s="2" t="n">
        <v>35</v>
      </c>
      <c r="M5" s="2" t="b">
        <v>0</v>
      </c>
      <c r="N5" s="2" t="inlineStr">
        <is>
          <t>East Paseo Set</t>
        </is>
      </c>
      <c r="O5" s="2" t="inlineStr">
        <is>
          <t>Tavian Jackson</t>
        </is>
      </c>
      <c r="P5" s="2" t="n">
        <v>39.05849</v>
      </c>
      <c r="Q5" s="2" t="n">
        <v>-94.5454</v>
      </c>
    </row>
    <row r="6">
      <c r="A6" s="2" t="inlineStr">
        <is>
          <t>KC202562383</t>
        </is>
      </c>
      <c r="B6" s="2" t="inlineStr">
        <is>
          <t>04/10/2025</t>
        </is>
      </c>
      <c r="C6" s="2" t="inlineStr">
        <is>
          <t>07:09</t>
        </is>
      </c>
      <c r="D6" s="2" t="inlineStr">
        <is>
          <t>Firearm Offense</t>
        </is>
      </c>
      <c r="E6" s="2" t="inlineStr">
        <is>
          <t>520</t>
        </is>
      </c>
      <c r="F6" s="2" t="inlineStr">
        <is>
          <t>312</t>
        </is>
      </c>
      <c r="G6" s="2" t="inlineStr">
        <is>
          <t>CPD</t>
        </is>
      </c>
      <c r="H6" s="2" t="b">
        <v>1</v>
      </c>
      <c r="I6" s="2" t="inlineStr">
        <is>
          <t>WIT</t>
        </is>
      </c>
      <c r="J6" s="2" t="inlineStr">
        <is>
          <t>W</t>
        </is>
      </c>
      <c r="K6" s="2" t="inlineStr">
        <is>
          <t>M</t>
        </is>
      </c>
      <c r="L6" s="2" t="n">
        <v>47</v>
      </c>
      <c r="M6" s="2" t="b">
        <v>1</v>
      </c>
      <c r="N6" s="2" t="inlineStr">
        <is>
          <t>East Paseo Set</t>
        </is>
      </c>
      <c r="O6" s="2" t="inlineStr">
        <is>
          <t>Elijah Young</t>
        </is>
      </c>
      <c r="P6" s="2" t="n">
        <v>39.05949</v>
      </c>
      <c r="Q6" s="2" t="n">
        <v>-94.54685000000001</v>
      </c>
    </row>
    <row r="7">
      <c r="A7" s="2" t="inlineStr">
        <is>
          <t>KC202627477</t>
        </is>
      </c>
      <c r="B7" s="2" t="inlineStr">
        <is>
          <t>03/11/2026</t>
        </is>
      </c>
      <c r="C7" s="2" t="inlineStr">
        <is>
          <t>14:42</t>
        </is>
      </c>
      <c r="D7" s="2" t="inlineStr">
        <is>
          <t>Domestic Violence Assault (Non-Aggravated)</t>
        </is>
      </c>
      <c r="E7" s="2" t="inlineStr">
        <is>
          <t>13B</t>
        </is>
      </c>
      <c r="F7" s="2" t="inlineStr">
        <is>
          <t>222</t>
        </is>
      </c>
      <c r="G7" s="2" t="inlineStr">
        <is>
          <t>NPD</t>
        </is>
      </c>
      <c r="H7" s="2" t="b">
        <v>0</v>
      </c>
      <c r="I7" s="2" t="inlineStr">
        <is>
          <t>WIT</t>
        </is>
      </c>
      <c r="J7" s="2" t="inlineStr">
        <is>
          <t>U</t>
        </is>
      </c>
      <c r="K7" s="2" t="inlineStr">
        <is>
          <t>F</t>
        </is>
      </c>
      <c r="L7" s="2" t="n">
        <v>45</v>
      </c>
      <c r="M7" s="2" t="b">
        <v>0</v>
      </c>
      <c r="N7" s="2" t="inlineStr">
        <is>
          <t>East Paseo Set</t>
        </is>
      </c>
      <c r="O7" s="2" t="inlineStr">
        <is>
          <t>Elijah Young</t>
        </is>
      </c>
      <c r="P7" s="2" t="n">
        <v>39.05912</v>
      </c>
      <c r="Q7" s="2" t="n">
        <v>-94.55482000000001</v>
      </c>
    </row>
    <row r="8">
      <c r="A8" s="2" t="inlineStr">
        <is>
          <t>KC202593579</t>
        </is>
      </c>
      <c r="B8" s="2" t="inlineStr">
        <is>
          <t>08/19/2025</t>
        </is>
      </c>
      <c r="C8" s="2" t="inlineStr">
        <is>
          <t>08:49</t>
        </is>
      </c>
      <c r="D8" s="2" t="inlineStr">
        <is>
          <t>Burglary (Non-Residential)</t>
        </is>
      </c>
      <c r="E8" s="2" t="inlineStr">
        <is>
          <t>220</t>
        </is>
      </c>
      <c r="F8" s="2" t="inlineStr">
        <is>
          <t>412</t>
        </is>
      </c>
      <c r="G8" s="2" t="inlineStr">
        <is>
          <t>NPD</t>
        </is>
      </c>
      <c r="H8" s="2" t="b">
        <v>0</v>
      </c>
      <c r="I8" s="2" t="inlineStr">
        <is>
          <t>VIC</t>
        </is>
      </c>
      <c r="J8" s="2" t="inlineStr">
        <is>
          <t>H</t>
        </is>
      </c>
      <c r="K8" s="2" t="inlineStr">
        <is>
          <t>F</t>
        </is>
      </c>
      <c r="L8" s="2" t="n">
        <v>31</v>
      </c>
      <c r="M8" s="2" t="b">
        <v>0</v>
      </c>
      <c r="N8" s="2" t="inlineStr">
        <is>
          <t>Westside Locos</t>
        </is>
      </c>
      <c r="O8" s="2" t="inlineStr">
        <is>
          <t>Rodney Walker</t>
        </is>
      </c>
      <c r="P8" s="2" t="n">
        <v>39.10637</v>
      </c>
      <c r="Q8" s="2" t="n">
        <v>-94.63630999999999</v>
      </c>
    </row>
    <row r="9">
      <c r="A9" s="2" t="inlineStr">
        <is>
          <t>KC202520561</t>
        </is>
      </c>
      <c r="B9" s="2" t="inlineStr">
        <is>
          <t>06/21/2025</t>
        </is>
      </c>
      <c r="C9" s="2" t="inlineStr">
        <is>
          <t>04:09</t>
        </is>
      </c>
      <c r="D9" s="2" t="inlineStr">
        <is>
          <t>Stealing - Shoplift</t>
        </is>
      </c>
      <c r="E9" s="2" t="inlineStr">
        <is>
          <t>23C</t>
        </is>
      </c>
      <c r="F9" s="2" t="inlineStr">
        <is>
          <t>121</t>
        </is>
      </c>
      <c r="G9" s="2" t="inlineStr">
        <is>
          <t>SPD</t>
        </is>
      </c>
      <c r="H9" s="2" t="b">
        <v>1</v>
      </c>
      <c r="I9" s="2" t="inlineStr">
        <is>
          <t>VIC</t>
        </is>
      </c>
      <c r="J9" s="2" t="inlineStr">
        <is>
          <t>B</t>
        </is>
      </c>
      <c r="K9" s="2" t="inlineStr">
        <is>
          <t>F</t>
        </is>
      </c>
      <c r="L9" s="2" t="n">
        <v>50</v>
      </c>
      <c r="M9" s="2" t="b">
        <v>0</v>
      </c>
      <c r="N9" s="2" t="inlineStr">
        <is>
          <t>Westside Locos</t>
        </is>
      </c>
      <c r="O9" s="2" t="inlineStr">
        <is>
          <t>Darius Thompson</t>
        </is>
      </c>
      <c r="P9" s="2" t="n">
        <v>39.09872</v>
      </c>
      <c r="Q9" s="2" t="n">
        <v>-94.63168</v>
      </c>
    </row>
    <row r="10">
      <c r="A10" s="2" t="inlineStr">
        <is>
          <t>KC202561049</t>
        </is>
      </c>
      <c r="B10" s="2" t="inlineStr">
        <is>
          <t>02/01/2025</t>
        </is>
      </c>
      <c r="C10" s="2" t="inlineStr">
        <is>
          <t>18:44</t>
        </is>
      </c>
      <c r="D10" s="2" t="inlineStr">
        <is>
          <t>Property Damage</t>
        </is>
      </c>
      <c r="E10" s="2" t="inlineStr">
        <is>
          <t>290</t>
        </is>
      </c>
      <c r="F10" s="2" t="inlineStr">
        <is>
          <t>111</t>
        </is>
      </c>
      <c r="G10" s="2" t="inlineStr">
        <is>
          <t>NPD</t>
        </is>
      </c>
      <c r="H10" s="2" t="b">
        <v>0</v>
      </c>
      <c r="I10" s="2" t="inlineStr">
        <is>
          <t>WIT</t>
        </is>
      </c>
      <c r="J10" s="2" t="inlineStr">
        <is>
          <t>B</t>
        </is>
      </c>
      <c r="K10" s="2" t="inlineStr">
        <is>
          <t>F</t>
        </is>
      </c>
      <c r="L10" s="2" t="n">
        <v>42</v>
      </c>
      <c r="M10" s="2" t="b">
        <v>0</v>
      </c>
      <c r="N10" s="2" t="inlineStr">
        <is>
          <t>Westside Locos</t>
        </is>
      </c>
      <c r="O10" s="2" t="inlineStr">
        <is>
          <t>Lamar Davis</t>
        </is>
      </c>
      <c r="P10" s="2" t="n">
        <v>39.10717</v>
      </c>
      <c r="Q10" s="2" t="n">
        <v>-94.62393</v>
      </c>
    </row>
    <row r="11">
      <c r="A11" s="2" t="inlineStr">
        <is>
          <t>KC202681582</t>
        </is>
      </c>
      <c r="B11" s="2" t="inlineStr">
        <is>
          <t>03/04/2026</t>
        </is>
      </c>
      <c r="C11" s="2" t="inlineStr">
        <is>
          <t>19:57</t>
        </is>
      </c>
      <c r="D11" s="2" t="inlineStr">
        <is>
          <t>Firearm Offense</t>
        </is>
      </c>
      <c r="E11" s="2" t="inlineStr">
        <is>
          <t>520</t>
        </is>
      </c>
      <c r="F11" s="2" t="inlineStr">
        <is>
          <t>121</t>
        </is>
      </c>
      <c r="G11" s="2" t="inlineStr">
        <is>
          <t>SPD</t>
        </is>
      </c>
      <c r="H11" s="2" t="b">
        <v>1</v>
      </c>
      <c r="I11" s="2" t="inlineStr">
        <is>
          <t>ARR</t>
        </is>
      </c>
      <c r="J11" s="2" t="inlineStr">
        <is>
          <t>A</t>
        </is>
      </c>
      <c r="K11" s="2" t="inlineStr">
        <is>
          <t>F</t>
        </is>
      </c>
      <c r="L11" s="2" t="n">
        <v>50</v>
      </c>
      <c r="M11" s="2" t="b">
        <v>0</v>
      </c>
      <c r="N11" s="2" t="inlineStr">
        <is>
          <t>Westside Locos</t>
        </is>
      </c>
      <c r="O11" s="2" t="inlineStr">
        <is>
          <t>Lamar Davis</t>
        </is>
      </c>
      <c r="P11" s="2" t="n">
        <v>39.10548</v>
      </c>
      <c r="Q11" s="2" t="n">
        <v>-94.62504</v>
      </c>
    </row>
    <row r="12">
      <c r="A12" s="2" t="inlineStr">
        <is>
          <t>KC202626728</t>
        </is>
      </c>
      <c r="B12" s="2" t="inlineStr">
        <is>
          <t>01/06/2026</t>
        </is>
      </c>
      <c r="C12" s="2" t="inlineStr">
        <is>
          <t>19:34</t>
        </is>
      </c>
      <c r="D12" s="2" t="inlineStr">
        <is>
          <t>Stolen Auto</t>
        </is>
      </c>
      <c r="E12" s="2" t="inlineStr">
        <is>
          <t>240</t>
        </is>
      </c>
      <c r="F12" s="2" t="inlineStr">
        <is>
          <t>111</t>
        </is>
      </c>
      <c r="G12" s="2" t="inlineStr">
        <is>
          <t>SPD</t>
        </is>
      </c>
      <c r="H12" s="2" t="b">
        <v>1</v>
      </c>
      <c r="I12" s="2" t="inlineStr">
        <is>
          <t>SUS</t>
        </is>
      </c>
      <c r="J12" s="2" t="inlineStr">
        <is>
          <t>A</t>
        </is>
      </c>
      <c r="K12" s="2" t="inlineStr">
        <is>
          <t>M</t>
        </is>
      </c>
      <c r="L12" s="2" t="n">
        <v>45</v>
      </c>
      <c r="M12" s="2" t="b">
        <v>0</v>
      </c>
      <c r="N12" s="2" t="inlineStr">
        <is>
          <t>Westside Locos</t>
        </is>
      </c>
      <c r="O12" s="2" t="inlineStr">
        <is>
          <t>Darius Thompson</t>
        </is>
      </c>
      <c r="P12" s="2" t="n">
        <v>39.09573</v>
      </c>
      <c r="Q12" s="2" t="n">
        <v>-94.6358</v>
      </c>
    </row>
    <row r="13">
      <c r="A13" s="2" t="inlineStr">
        <is>
          <t>KC202552840</t>
        </is>
      </c>
      <c r="B13" s="2" t="inlineStr">
        <is>
          <t>06/17/2025</t>
        </is>
      </c>
      <c r="C13" s="2" t="inlineStr">
        <is>
          <t>10:48</t>
        </is>
      </c>
      <c r="D13" s="2" t="inlineStr">
        <is>
          <t>Property Damage</t>
        </is>
      </c>
      <c r="E13" s="2" t="inlineStr">
        <is>
          <t>290</t>
        </is>
      </c>
      <c r="F13" s="2" t="inlineStr">
        <is>
          <t>212</t>
        </is>
      </c>
      <c r="G13" s="2" t="inlineStr">
        <is>
          <t>MPD</t>
        </is>
      </c>
      <c r="H13" s="2" t="b">
        <v>0</v>
      </c>
      <c r="I13" s="2" t="inlineStr">
        <is>
          <t>ARR</t>
        </is>
      </c>
      <c r="J13" s="2" t="inlineStr">
        <is>
          <t>B</t>
        </is>
      </c>
      <c r="K13" s="2" t="inlineStr">
        <is>
          <t>F</t>
        </is>
      </c>
      <c r="L13" s="2" t="n">
        <v>45</v>
      </c>
      <c r="M13" s="2" t="b">
        <v>0</v>
      </c>
      <c r="N13" s="2" t="inlineStr">
        <is>
          <t>Westside Locos</t>
        </is>
      </c>
      <c r="O13" s="2" t="inlineStr">
        <is>
          <t>Rodney Walker</t>
        </is>
      </c>
      <c r="P13" s="2" t="n">
        <v>39.10708</v>
      </c>
      <c r="Q13" s="2" t="n">
        <v>-94.63996</v>
      </c>
    </row>
    <row r="14">
      <c r="A14" s="2" t="inlineStr">
        <is>
          <t>KC202514067</t>
        </is>
      </c>
      <c r="B14" s="2" t="inlineStr">
        <is>
          <t>04/25/2025</t>
        </is>
      </c>
      <c r="C14" s="2" t="inlineStr">
        <is>
          <t>07:12</t>
        </is>
      </c>
      <c r="D14" s="2" t="inlineStr">
        <is>
          <t>Domestic Violence Assault (Non-Aggravated)</t>
        </is>
      </c>
      <c r="E14" s="2" t="inlineStr">
        <is>
          <t>13B</t>
        </is>
      </c>
      <c r="F14" s="2" t="inlineStr">
        <is>
          <t>511</t>
        </is>
      </c>
      <c r="G14" s="2" t="inlineStr">
        <is>
          <t>CPD</t>
        </is>
      </c>
      <c r="H14" s="2" t="b">
        <v>1</v>
      </c>
      <c r="I14" s="2" t="inlineStr">
        <is>
          <t>VIC</t>
        </is>
      </c>
      <c r="J14" s="2" t="inlineStr">
        <is>
          <t>W</t>
        </is>
      </c>
      <c r="K14" s="2" t="inlineStr">
        <is>
          <t>F</t>
        </is>
      </c>
      <c r="L14" s="2" t="n">
        <v>18</v>
      </c>
      <c r="M14" s="2" t="b">
        <v>0</v>
      </c>
      <c r="N14" s="2" t="inlineStr">
        <is>
          <t>Troost Ave Crew</t>
        </is>
      </c>
      <c r="O14" s="2" t="inlineStr">
        <is>
          <t>Terrence Brown</t>
        </is>
      </c>
      <c r="P14" s="2" t="n">
        <v>39.07248</v>
      </c>
      <c r="Q14" s="2" t="n">
        <v>-94.56664000000001</v>
      </c>
    </row>
    <row r="15">
      <c r="A15" s="2" t="inlineStr">
        <is>
          <t>KC202531992</t>
        </is>
      </c>
      <c r="B15" s="2" t="inlineStr">
        <is>
          <t>12/25/2025</t>
        </is>
      </c>
      <c r="C15" s="2" t="inlineStr">
        <is>
          <t>19:38</t>
        </is>
      </c>
      <c r="D15" s="2" t="inlineStr">
        <is>
          <t>Burglary (Non-Residential)</t>
        </is>
      </c>
      <c r="E15" s="2" t="inlineStr">
        <is>
          <t>220</t>
        </is>
      </c>
      <c r="F15" s="2" t="inlineStr">
        <is>
          <t>411</t>
        </is>
      </c>
      <c r="G15" s="2" t="inlineStr">
        <is>
          <t>CPD</t>
        </is>
      </c>
      <c r="H15" s="2" t="b">
        <v>1</v>
      </c>
      <c r="I15" s="2" t="inlineStr">
        <is>
          <t>ARR</t>
        </is>
      </c>
      <c r="J15" s="2" t="inlineStr">
        <is>
          <t>B</t>
        </is>
      </c>
      <c r="K15" s="2" t="inlineStr">
        <is>
          <t>M</t>
        </is>
      </c>
      <c r="L15" s="2" t="n">
        <v>39</v>
      </c>
      <c r="M15" s="2" t="b">
        <v>0</v>
      </c>
      <c r="N15" s="2" t="inlineStr">
        <is>
          <t>Troost Ave Crew</t>
        </is>
      </c>
      <c r="O15" s="2" t="inlineStr">
        <is>
          <t>Darnell Anderson</t>
        </is>
      </c>
      <c r="P15" s="2" t="n">
        <v>39.07272</v>
      </c>
      <c r="Q15" s="2" t="n">
        <v>-94.55284</v>
      </c>
    </row>
    <row r="16">
      <c r="A16" s="2" t="inlineStr">
        <is>
          <t>KC202519961</t>
        </is>
      </c>
      <c r="B16" s="2" t="inlineStr">
        <is>
          <t>07/12/2025</t>
        </is>
      </c>
      <c r="C16" s="2" t="inlineStr">
        <is>
          <t>18:44</t>
        </is>
      </c>
      <c r="D16" s="2" t="inlineStr">
        <is>
          <t>Firearm Offense</t>
        </is>
      </c>
      <c r="E16" s="2" t="inlineStr">
        <is>
          <t>520</t>
        </is>
      </c>
      <c r="F16" s="2" t="inlineStr">
        <is>
          <t>511</t>
        </is>
      </c>
      <c r="G16" s="2" t="inlineStr">
        <is>
          <t>EPD</t>
        </is>
      </c>
      <c r="H16" s="2" t="b">
        <v>1</v>
      </c>
      <c r="I16" s="2" t="inlineStr">
        <is>
          <t>ARR</t>
        </is>
      </c>
      <c r="J16" s="2" t="inlineStr">
        <is>
          <t>U</t>
        </is>
      </c>
      <c r="K16" s="2" t="inlineStr">
        <is>
          <t>M</t>
        </is>
      </c>
      <c r="L16" s="2" t="n">
        <v>28</v>
      </c>
      <c r="M16" s="2" t="b">
        <v>1</v>
      </c>
      <c r="N16" s="2" t="inlineStr">
        <is>
          <t>Troost Ave Crew</t>
        </is>
      </c>
      <c r="O16" s="2" t="inlineStr">
        <is>
          <t>Dominique Jackson</t>
        </is>
      </c>
      <c r="P16" s="2" t="n">
        <v>39.06814</v>
      </c>
      <c r="Q16" s="2" t="n">
        <v>-94.56243000000001</v>
      </c>
    </row>
    <row r="17">
      <c r="A17" s="2" t="inlineStr">
        <is>
          <t>KC202594874</t>
        </is>
      </c>
      <c r="B17" s="2" t="inlineStr">
        <is>
          <t>07/09/2025</t>
        </is>
      </c>
      <c r="C17" s="2" t="inlineStr">
        <is>
          <t>10:00</t>
        </is>
      </c>
      <c r="D17" s="2" t="inlineStr">
        <is>
          <t>Domestic Violence Assault (Non-Aggravated)</t>
        </is>
      </c>
      <c r="E17" s="2" t="inlineStr">
        <is>
          <t>13B</t>
        </is>
      </c>
      <c r="F17" s="2" t="inlineStr">
        <is>
          <t>511</t>
        </is>
      </c>
      <c r="G17" s="2" t="inlineStr">
        <is>
          <t>SPD</t>
        </is>
      </c>
      <c r="H17" s="2" t="b">
        <v>0</v>
      </c>
      <c r="I17" s="2" t="inlineStr">
        <is>
          <t>SUS</t>
        </is>
      </c>
      <c r="J17" s="2" t="inlineStr">
        <is>
          <t>A</t>
        </is>
      </c>
      <c r="K17" s="2" t="inlineStr">
        <is>
          <t>F</t>
        </is>
      </c>
      <c r="L17" s="2" t="n">
        <v>48</v>
      </c>
      <c r="M17" s="2" t="b">
        <v>0</v>
      </c>
      <c r="N17" s="2" t="inlineStr">
        <is>
          <t>Troost Ave Crew</t>
        </is>
      </c>
      <c r="O17" s="2" t="inlineStr">
        <is>
          <t>Terrence Green</t>
        </is>
      </c>
      <c r="P17" s="2" t="n">
        <v>39.07535</v>
      </c>
      <c r="Q17" s="2" t="n">
        <v>-94.56229</v>
      </c>
    </row>
    <row r="18">
      <c r="A18" s="2" t="inlineStr">
        <is>
          <t>KC202690728</t>
        </is>
      </c>
      <c r="B18" s="2" t="inlineStr">
        <is>
          <t>01/11/2026</t>
        </is>
      </c>
      <c r="C18" s="2" t="inlineStr">
        <is>
          <t>17:49</t>
        </is>
      </c>
      <c r="D18" s="2" t="inlineStr">
        <is>
          <t>Robbery</t>
        </is>
      </c>
      <c r="E18" s="2" t="inlineStr">
        <is>
          <t>120</t>
        </is>
      </c>
      <c r="F18" s="2" t="inlineStr">
        <is>
          <t>221</t>
        </is>
      </c>
      <c r="G18" s="2" t="inlineStr">
        <is>
          <t>SPD</t>
        </is>
      </c>
      <c r="H18" s="2" t="b">
        <v>0</v>
      </c>
      <c r="I18" s="2" t="inlineStr">
        <is>
          <t>ARR</t>
        </is>
      </c>
      <c r="J18" s="2" t="inlineStr">
        <is>
          <t>H</t>
        </is>
      </c>
      <c r="K18" s="2" t="inlineStr">
        <is>
          <t>M</t>
        </is>
      </c>
      <c r="L18" s="2" t="n">
        <v>33</v>
      </c>
      <c r="M18" s="2" t="b">
        <v>1</v>
      </c>
      <c r="N18" s="2" t="inlineStr">
        <is>
          <t>Troost Ave Crew</t>
        </is>
      </c>
      <c r="O18" s="2" t="inlineStr">
        <is>
          <t>Terrence Brown</t>
        </is>
      </c>
      <c r="P18" s="2" t="n">
        <v>39.06678</v>
      </c>
      <c r="Q18" s="2" t="n">
        <v>-94.56198000000001</v>
      </c>
    </row>
    <row r="19">
      <c r="A19" s="2" t="inlineStr">
        <is>
          <t>KC202554092</t>
        </is>
      </c>
      <c r="B19" s="2" t="inlineStr">
        <is>
          <t>10/19/2025</t>
        </is>
      </c>
      <c r="C19" s="2" t="inlineStr">
        <is>
          <t>00:31</t>
        </is>
      </c>
      <c r="D19" s="2" t="inlineStr">
        <is>
          <t>Trespass</t>
        </is>
      </c>
      <c r="E19" s="2" t="inlineStr">
        <is>
          <t>90J</t>
        </is>
      </c>
      <c r="F19" s="2" t="inlineStr">
        <is>
          <t>511</t>
        </is>
      </c>
      <c r="G19" s="2" t="inlineStr">
        <is>
          <t>MPD</t>
        </is>
      </c>
      <c r="H19" s="2" t="b">
        <v>1</v>
      </c>
      <c r="I19" s="2" t="inlineStr">
        <is>
          <t>WIT</t>
        </is>
      </c>
      <c r="J19" s="2" t="inlineStr">
        <is>
          <t>W</t>
        </is>
      </c>
      <c r="K19" s="2" t="inlineStr">
        <is>
          <t>F</t>
        </is>
      </c>
      <c r="L19" s="2" t="n">
        <v>40</v>
      </c>
      <c r="M19" s="2" t="b">
        <v>0</v>
      </c>
      <c r="N19" s="2" t="inlineStr">
        <is>
          <t>Blue Hills Network</t>
        </is>
      </c>
      <c r="O19" s="2" t="inlineStr">
        <is>
          <t>Antoine Smith</t>
        </is>
      </c>
      <c r="P19" s="2" t="n">
        <v>39.01831</v>
      </c>
      <c r="Q19" s="2" t="n">
        <v>-94.54539</v>
      </c>
    </row>
    <row r="20">
      <c r="A20" s="2" t="inlineStr">
        <is>
          <t>KC202511330</t>
        </is>
      </c>
      <c r="B20" s="2" t="inlineStr">
        <is>
          <t>12/26/2025</t>
        </is>
      </c>
      <c r="C20" s="2" t="inlineStr">
        <is>
          <t>16:12</t>
        </is>
      </c>
      <c r="D20" s="2" t="inlineStr">
        <is>
          <t>Burglary (Non-Residential)</t>
        </is>
      </c>
      <c r="E20" s="2" t="inlineStr">
        <is>
          <t>220</t>
        </is>
      </c>
      <c r="F20" s="2" t="inlineStr">
        <is>
          <t>112</t>
        </is>
      </c>
      <c r="G20" s="2" t="inlineStr">
        <is>
          <t>EPD</t>
        </is>
      </c>
      <c r="H20" s="2" t="b">
        <v>0</v>
      </c>
      <c r="I20" s="2" t="inlineStr">
        <is>
          <t>WIT</t>
        </is>
      </c>
      <c r="J20" s="2" t="inlineStr">
        <is>
          <t>U</t>
        </is>
      </c>
      <c r="K20" s="2" t="inlineStr">
        <is>
          <t>M</t>
        </is>
      </c>
      <c r="L20" s="2" t="n">
        <v>51</v>
      </c>
      <c r="M20" s="2" t="b">
        <v>0</v>
      </c>
      <c r="N20" s="2" t="inlineStr">
        <is>
          <t>Blue Hills Network</t>
        </is>
      </c>
      <c r="O20" s="2" t="inlineStr">
        <is>
          <t>Malik Walker</t>
        </is>
      </c>
      <c r="P20" s="2" t="n">
        <v>39.02442</v>
      </c>
      <c r="Q20" s="2" t="n">
        <v>-94.55318</v>
      </c>
    </row>
    <row r="21">
      <c r="A21" s="2" t="inlineStr">
        <is>
          <t>KC202648566</t>
        </is>
      </c>
      <c r="B21" s="2" t="inlineStr">
        <is>
          <t>02/10/2026</t>
        </is>
      </c>
      <c r="C21" s="2" t="inlineStr">
        <is>
          <t>07:25</t>
        </is>
      </c>
      <c r="D21" s="2" t="inlineStr">
        <is>
          <t>Assault (Aggravated)</t>
        </is>
      </c>
      <c r="E21" s="2" t="inlineStr">
        <is>
          <t>13A</t>
        </is>
      </c>
      <c r="F21" s="2" t="inlineStr">
        <is>
          <t>411</t>
        </is>
      </c>
      <c r="G21" s="2" t="inlineStr">
        <is>
          <t>EPD</t>
        </is>
      </c>
      <c r="H21" s="2" t="b">
        <v>0</v>
      </c>
      <c r="I21" s="2" t="inlineStr">
        <is>
          <t>ARR</t>
        </is>
      </c>
      <c r="J21" s="2" t="inlineStr">
        <is>
          <t>A</t>
        </is>
      </c>
      <c r="K21" s="2" t="inlineStr">
        <is>
          <t>F</t>
        </is>
      </c>
      <c r="L21" s="2" t="n">
        <v>21</v>
      </c>
      <c r="M21" s="2" t="b">
        <v>1</v>
      </c>
      <c r="N21" s="2" t="inlineStr">
        <is>
          <t>Blue Hills Network</t>
        </is>
      </c>
      <c r="O21" s="2" t="inlineStr">
        <is>
          <t>Antoine Smith</t>
        </is>
      </c>
      <c r="P21" s="2" t="n">
        <v>39.01854</v>
      </c>
      <c r="Q21" s="2" t="n">
        <v>-94.55392999999999</v>
      </c>
    </row>
    <row r="22">
      <c r="A22" s="2" t="inlineStr">
        <is>
          <t>KC202525814</t>
        </is>
      </c>
      <c r="B22" s="2" t="inlineStr">
        <is>
          <t>06/06/2025</t>
        </is>
      </c>
      <c r="C22" s="2" t="inlineStr">
        <is>
          <t>23:12</t>
        </is>
      </c>
      <c r="D22" s="2" t="inlineStr">
        <is>
          <t>Burglary (Non-Residential)</t>
        </is>
      </c>
      <c r="E22" s="2" t="inlineStr">
        <is>
          <t>220</t>
        </is>
      </c>
      <c r="F22" s="2" t="inlineStr">
        <is>
          <t>211</t>
        </is>
      </c>
      <c r="G22" s="2" t="inlineStr">
        <is>
          <t>CPD</t>
        </is>
      </c>
      <c r="H22" s="2" t="b">
        <v>1</v>
      </c>
      <c r="I22" s="2" t="inlineStr">
        <is>
          <t>VIC</t>
        </is>
      </c>
      <c r="J22" s="2" t="inlineStr">
        <is>
          <t>W</t>
        </is>
      </c>
      <c r="K22" s="2" t="inlineStr">
        <is>
          <t>F</t>
        </is>
      </c>
      <c r="L22" s="2" t="n">
        <v>30</v>
      </c>
      <c r="M22" s="2" t="b">
        <v>0</v>
      </c>
      <c r="N22" s="2" t="inlineStr">
        <is>
          <t>Blue Hills Network</t>
        </is>
      </c>
      <c r="O22" s="2" t="inlineStr">
        <is>
          <t>Antoine Smith</t>
        </is>
      </c>
      <c r="P22" s="2" t="n">
        <v>39.02599</v>
      </c>
      <c r="Q22" s="2" t="n">
        <v>-94.54347</v>
      </c>
    </row>
    <row r="23">
      <c r="A23" s="2" t="inlineStr">
        <is>
          <t>KC202523176</t>
        </is>
      </c>
      <c r="B23" s="2" t="inlineStr">
        <is>
          <t>09/26/2025</t>
        </is>
      </c>
      <c r="C23" s="2" t="inlineStr">
        <is>
          <t>06:18</t>
        </is>
      </c>
      <c r="D23" s="2" t="inlineStr">
        <is>
          <t>Trespass</t>
        </is>
      </c>
      <c r="E23" s="2" t="inlineStr">
        <is>
          <t>90J</t>
        </is>
      </c>
      <c r="F23" s="2" t="inlineStr">
        <is>
          <t>121</t>
        </is>
      </c>
      <c r="G23" s="2" t="inlineStr">
        <is>
          <t>MPD</t>
        </is>
      </c>
      <c r="H23" s="2" t="b">
        <v>1</v>
      </c>
      <c r="I23" s="2" t="inlineStr">
        <is>
          <t>ARR</t>
        </is>
      </c>
      <c r="J23" s="2" t="inlineStr">
        <is>
          <t>B</t>
        </is>
      </c>
      <c r="K23" s="2" t="inlineStr">
        <is>
          <t>M</t>
        </is>
      </c>
      <c r="L23" s="2" t="n">
        <v>34</v>
      </c>
      <c r="M23" s="2" t="b">
        <v>0</v>
      </c>
      <c r="N23" s="2" t="inlineStr">
        <is>
          <t>Blue Hills Network</t>
        </is>
      </c>
      <c r="O23" s="2" t="inlineStr">
        <is>
          <t>Antoine Smith</t>
        </is>
      </c>
      <c r="P23" s="2" t="n">
        <v>39.01241</v>
      </c>
      <c r="Q23" s="2" t="n">
        <v>-94.56191</v>
      </c>
    </row>
    <row r="24">
      <c r="A24" s="2" t="inlineStr">
        <is>
          <t>KC202523446</t>
        </is>
      </c>
      <c r="B24" s="2" t="inlineStr">
        <is>
          <t>05/30/2025</t>
        </is>
      </c>
      <c r="C24" s="2" t="inlineStr">
        <is>
          <t>00:36</t>
        </is>
      </c>
      <c r="D24" s="2" t="inlineStr">
        <is>
          <t>Stolen Auto</t>
        </is>
      </c>
      <c r="E24" s="2" t="inlineStr">
        <is>
          <t>240</t>
        </is>
      </c>
      <c r="F24" s="2" t="inlineStr">
        <is>
          <t>122</t>
        </is>
      </c>
      <c r="G24" s="2" t="inlineStr">
        <is>
          <t>SPD</t>
        </is>
      </c>
      <c r="H24" s="2" t="b">
        <v>0</v>
      </c>
      <c r="I24" s="2" t="inlineStr">
        <is>
          <t>WIT</t>
        </is>
      </c>
      <c r="J24" s="2" t="inlineStr">
        <is>
          <t>H</t>
        </is>
      </c>
      <c r="K24" s="2" t="inlineStr">
        <is>
          <t>M</t>
        </is>
      </c>
      <c r="L24" s="2" t="n">
        <v>47</v>
      </c>
      <c r="M24" s="2" t="b">
        <v>0</v>
      </c>
      <c r="N24" s="2" t="inlineStr">
        <is>
          <t>Blue Hills Network</t>
        </is>
      </c>
      <c r="O24" s="2" t="inlineStr">
        <is>
          <t>Brandon Green</t>
        </is>
      </c>
      <c r="P24" s="2" t="n">
        <v>39.01655</v>
      </c>
      <c r="Q24" s="2" t="n">
        <v>-94.54577</v>
      </c>
    </row>
    <row r="25">
      <c r="A25" s="2" t="inlineStr">
        <is>
          <t>KC202674454</t>
        </is>
      </c>
      <c r="B25" s="2" t="inlineStr">
        <is>
          <t>02/25/2026</t>
        </is>
      </c>
      <c r="C25" s="2" t="inlineStr">
        <is>
          <t>02:36</t>
        </is>
      </c>
      <c r="D25" s="2" t="inlineStr">
        <is>
          <t>Domestic Violence Assault (Non-Aggravated)</t>
        </is>
      </c>
      <c r="E25" s="2" t="inlineStr">
        <is>
          <t>13B</t>
        </is>
      </c>
      <c r="F25" s="2" t="inlineStr">
        <is>
          <t>312</t>
        </is>
      </c>
      <c r="G25" s="2" t="inlineStr">
        <is>
          <t>CPD</t>
        </is>
      </c>
      <c r="H25" s="2" t="b">
        <v>1</v>
      </c>
      <c r="I25" s="2" t="inlineStr">
        <is>
          <t>VIC</t>
        </is>
      </c>
      <c r="J25" s="2" t="inlineStr">
        <is>
          <t>U</t>
        </is>
      </c>
      <c r="K25" s="2" t="inlineStr">
        <is>
          <t>F</t>
        </is>
      </c>
      <c r="L25" s="2" t="n">
        <v>41</v>
      </c>
      <c r="M25" s="2" t="b">
        <v>0</v>
      </c>
      <c r="N25" s="2" t="inlineStr">
        <is>
          <t>Swope Park Riders</t>
        </is>
      </c>
      <c r="O25" s="2" t="inlineStr">
        <is>
          <t>Carlos Scott</t>
        </is>
      </c>
      <c r="P25" s="2" t="n">
        <v>39.00738</v>
      </c>
      <c r="Q25" s="2" t="n">
        <v>-94.54163</v>
      </c>
    </row>
    <row r="26">
      <c r="A26" s="2" t="inlineStr">
        <is>
          <t>KC202688135</t>
        </is>
      </c>
      <c r="B26" s="2" t="inlineStr">
        <is>
          <t>01/27/2026</t>
        </is>
      </c>
      <c r="C26" s="2" t="inlineStr">
        <is>
          <t>19:14</t>
        </is>
      </c>
      <c r="D26" s="2" t="inlineStr">
        <is>
          <t>Firearm Offense</t>
        </is>
      </c>
      <c r="E26" s="2" t="inlineStr">
        <is>
          <t>520</t>
        </is>
      </c>
      <c r="F26" s="2" t="inlineStr">
        <is>
          <t>412</t>
        </is>
      </c>
      <c r="G26" s="2" t="inlineStr">
        <is>
          <t>NPD</t>
        </is>
      </c>
      <c r="H26" s="2" t="b">
        <v>0</v>
      </c>
      <c r="I26" s="2" t="inlineStr">
        <is>
          <t>WIT</t>
        </is>
      </c>
      <c r="J26" s="2" t="inlineStr">
        <is>
          <t>A</t>
        </is>
      </c>
      <c r="K26" s="2" t="inlineStr">
        <is>
          <t>F</t>
        </is>
      </c>
      <c r="L26" s="2" t="n">
        <v>54</v>
      </c>
      <c r="M26" s="2" t="b">
        <v>1</v>
      </c>
      <c r="N26" s="2" t="inlineStr">
        <is>
          <t>Swope Park Riders</t>
        </is>
      </c>
      <c r="O26" s="2" t="inlineStr">
        <is>
          <t>Malik Johnson</t>
        </is>
      </c>
      <c r="P26" s="2" t="n">
        <v>38.99361</v>
      </c>
      <c r="Q26" s="2" t="n">
        <v>-94.53158000000001</v>
      </c>
    </row>
    <row r="27">
      <c r="A27" s="2" t="inlineStr">
        <is>
          <t>KC202591987</t>
        </is>
      </c>
      <c r="B27" s="2" t="inlineStr">
        <is>
          <t>11/09/2025</t>
        </is>
      </c>
      <c r="C27" s="2" t="inlineStr">
        <is>
          <t>06:16</t>
        </is>
      </c>
      <c r="D27" s="2" t="inlineStr">
        <is>
          <t>Domestic Violence Assault (Non-Aggravated)</t>
        </is>
      </c>
      <c r="E27" s="2" t="inlineStr">
        <is>
          <t>13B</t>
        </is>
      </c>
      <c r="F27" s="2" t="inlineStr">
        <is>
          <t>312</t>
        </is>
      </c>
      <c r="G27" s="2" t="inlineStr">
        <is>
          <t>CPD</t>
        </is>
      </c>
      <c r="H27" s="2" t="b">
        <v>1</v>
      </c>
      <c r="I27" s="2" t="inlineStr">
        <is>
          <t>VIC</t>
        </is>
      </c>
      <c r="J27" s="2" t="inlineStr">
        <is>
          <t>W</t>
        </is>
      </c>
      <c r="K27" s="2" t="inlineStr">
        <is>
          <t>M</t>
        </is>
      </c>
      <c r="L27" s="2" t="n">
        <v>29</v>
      </c>
      <c r="M27" s="2" t="b">
        <v>0</v>
      </c>
      <c r="N27" s="2" t="inlineStr">
        <is>
          <t>Swope Park Riders</t>
        </is>
      </c>
      <c r="O27" s="2" t="inlineStr">
        <is>
          <t>Cortez Walker</t>
        </is>
      </c>
      <c r="P27" s="2" t="n">
        <v>38.98755</v>
      </c>
      <c r="Q27" s="2" t="n">
        <v>-94.53498999999999</v>
      </c>
    </row>
    <row r="28">
      <c r="A28" s="2" t="inlineStr">
        <is>
          <t>KC202540340</t>
        </is>
      </c>
      <c r="B28" s="2" t="inlineStr">
        <is>
          <t>08/29/2025</t>
        </is>
      </c>
      <c r="C28" s="2" t="inlineStr">
        <is>
          <t>09:45</t>
        </is>
      </c>
      <c r="D28" s="2" t="inlineStr">
        <is>
          <t>Burglary (Non-Residential)</t>
        </is>
      </c>
      <c r="E28" s="2" t="inlineStr">
        <is>
          <t>220</t>
        </is>
      </c>
      <c r="F28" s="2" t="inlineStr">
        <is>
          <t>122</t>
        </is>
      </c>
      <c r="G28" s="2" t="inlineStr">
        <is>
          <t>SPD</t>
        </is>
      </c>
      <c r="H28" s="2" t="b">
        <v>1</v>
      </c>
      <c r="I28" s="2" t="inlineStr">
        <is>
          <t>VIC</t>
        </is>
      </c>
      <c r="J28" s="2" t="inlineStr">
        <is>
          <t>H</t>
        </is>
      </c>
      <c r="K28" s="2" t="inlineStr">
        <is>
          <t>M</t>
        </is>
      </c>
      <c r="L28" s="2" t="n">
        <v>18</v>
      </c>
      <c r="M28" s="2" t="b">
        <v>0</v>
      </c>
      <c r="N28" s="2" t="inlineStr">
        <is>
          <t>Northeast Bloc</t>
        </is>
      </c>
      <c r="O28" s="2" t="inlineStr">
        <is>
          <t>Jordan Davis</t>
        </is>
      </c>
      <c r="P28" s="2" t="n">
        <v>39.1153</v>
      </c>
      <c r="Q28" s="2" t="n">
        <v>-94.5145</v>
      </c>
    </row>
    <row r="29">
      <c r="A29" s="2" t="inlineStr">
        <is>
          <t>KC202519359</t>
        </is>
      </c>
      <c r="B29" s="2" t="inlineStr">
        <is>
          <t>03/18/2025</t>
        </is>
      </c>
      <c r="C29" s="2" t="inlineStr">
        <is>
          <t>01:10</t>
        </is>
      </c>
      <c r="D29" s="2" t="inlineStr">
        <is>
          <t>Burglary (Non-Residential)</t>
        </is>
      </c>
      <c r="E29" s="2" t="inlineStr">
        <is>
          <t>220</t>
        </is>
      </c>
      <c r="F29" s="2" t="inlineStr">
        <is>
          <t>412</t>
        </is>
      </c>
      <c r="G29" s="2" t="inlineStr">
        <is>
          <t>MPD</t>
        </is>
      </c>
      <c r="H29" s="2" t="b">
        <v>0</v>
      </c>
      <c r="I29" s="2" t="inlineStr">
        <is>
          <t>WIT</t>
        </is>
      </c>
      <c r="J29" s="2" t="inlineStr">
        <is>
          <t>B</t>
        </is>
      </c>
      <c r="K29" s="2" t="inlineStr">
        <is>
          <t>F</t>
        </is>
      </c>
      <c r="L29" s="2" t="n">
        <v>25</v>
      </c>
      <c r="M29" s="2" t="b">
        <v>0</v>
      </c>
      <c r="N29" s="2" t="inlineStr">
        <is>
          <t>Northeast Bloc</t>
        </is>
      </c>
      <c r="O29" s="2" t="inlineStr">
        <is>
          <t>Rodney Davis</t>
        </is>
      </c>
      <c r="P29" s="2" t="n">
        <v>39.12699</v>
      </c>
      <c r="Q29" s="2" t="n">
        <v>-94.50015</v>
      </c>
    </row>
    <row r="30">
      <c r="A30" s="2" t="inlineStr">
        <is>
          <t>KC202567377</t>
        </is>
      </c>
      <c r="B30" s="2" t="inlineStr">
        <is>
          <t>09/14/2025</t>
        </is>
      </c>
      <c r="C30" s="2" t="inlineStr">
        <is>
          <t>02:38</t>
        </is>
      </c>
      <c r="D30" s="2" t="inlineStr">
        <is>
          <t>Robbery</t>
        </is>
      </c>
      <c r="E30" s="2" t="inlineStr">
        <is>
          <t>120</t>
        </is>
      </c>
      <c r="F30" s="2" t="inlineStr">
        <is>
          <t>111</t>
        </is>
      </c>
      <c r="G30" s="2" t="inlineStr">
        <is>
          <t>SPD</t>
        </is>
      </c>
      <c r="H30" s="2" t="b">
        <v>0</v>
      </c>
      <c r="I30" s="2" t="inlineStr">
        <is>
          <t>ARR</t>
        </is>
      </c>
      <c r="J30" s="2" t="inlineStr">
        <is>
          <t>B</t>
        </is>
      </c>
      <c r="K30" s="2" t="inlineStr">
        <is>
          <t>M</t>
        </is>
      </c>
      <c r="L30" s="2" t="n">
        <v>47</v>
      </c>
      <c r="M30" s="2" t="b">
        <v>0</v>
      </c>
      <c r="N30" s="2" t="inlineStr">
        <is>
          <t>Northeast Bloc</t>
        </is>
      </c>
      <c r="O30" s="2" t="inlineStr">
        <is>
          <t>Darius Allen</t>
        </is>
      </c>
      <c r="P30" s="2" t="n">
        <v>39.13299</v>
      </c>
      <c r="Q30" s="2" t="n">
        <v>-94.50555</v>
      </c>
    </row>
    <row r="31">
      <c r="A31" s="2" t="inlineStr">
        <is>
          <t>KC202532962</t>
        </is>
      </c>
      <c r="B31" s="2" t="inlineStr">
        <is>
          <t>05/18/2025</t>
        </is>
      </c>
      <c r="C31" s="2" t="inlineStr">
        <is>
          <t>15:33</t>
        </is>
      </c>
      <c r="D31" s="2" t="inlineStr">
        <is>
          <t>Trespass</t>
        </is>
      </c>
      <c r="E31" s="2" t="inlineStr">
        <is>
          <t>90J</t>
        </is>
      </c>
      <c r="F31" s="2" t="inlineStr">
        <is>
          <t>312</t>
        </is>
      </c>
      <c r="G31" s="2" t="inlineStr">
        <is>
          <t>SPD</t>
        </is>
      </c>
      <c r="H31" s="2" t="b">
        <v>0</v>
      </c>
      <c r="I31" s="2" t="inlineStr">
        <is>
          <t>VIC</t>
        </is>
      </c>
      <c r="J31" s="2" t="inlineStr">
        <is>
          <t>U</t>
        </is>
      </c>
      <c r="K31" s="2" t="inlineStr">
        <is>
          <t>F</t>
        </is>
      </c>
      <c r="L31" s="2" t="n">
        <v>18</v>
      </c>
      <c r="M31" s="2" t="b">
        <v>0</v>
      </c>
      <c r="N31" s="2" t="inlineStr">
        <is>
          <t>Northeast Bloc</t>
        </is>
      </c>
      <c r="O31" s="2" t="inlineStr">
        <is>
          <t>Cortez Walker</t>
        </is>
      </c>
      <c r="P31" s="2" t="n">
        <v>39.13238</v>
      </c>
      <c r="Q31" s="2" t="n">
        <v>-94.50960000000001</v>
      </c>
    </row>
    <row r="32">
      <c r="A32" s="2" t="inlineStr">
        <is>
          <t>KC202597835</t>
        </is>
      </c>
      <c r="B32" s="2" t="inlineStr">
        <is>
          <t>07/29/2025</t>
        </is>
      </c>
      <c r="C32" s="2" t="inlineStr">
        <is>
          <t>03:54</t>
        </is>
      </c>
      <c r="D32" s="2" t="inlineStr">
        <is>
          <t>Stealing - Shoplift</t>
        </is>
      </c>
      <c r="E32" s="2" t="inlineStr">
        <is>
          <t>23C</t>
        </is>
      </c>
      <c r="F32" s="2" t="inlineStr">
        <is>
          <t>113</t>
        </is>
      </c>
      <c r="G32" s="2" t="inlineStr">
        <is>
          <t>MPD</t>
        </is>
      </c>
      <c r="H32" s="2" t="b">
        <v>0</v>
      </c>
      <c r="I32" s="2" t="inlineStr">
        <is>
          <t>WIT</t>
        </is>
      </c>
      <c r="J32" s="2" t="inlineStr">
        <is>
          <t>H</t>
        </is>
      </c>
      <c r="K32" s="2" t="inlineStr">
        <is>
          <t>F</t>
        </is>
      </c>
      <c r="L32" s="2" t="n">
        <v>36</v>
      </c>
      <c r="M32" s="2" t="b">
        <v>0</v>
      </c>
      <c r="N32" s="2" t="inlineStr">
        <is>
          <t>Northeast Bloc</t>
        </is>
      </c>
      <c r="O32" s="2" t="inlineStr">
        <is>
          <t>Kevin Anderson</t>
        </is>
      </c>
      <c r="P32" s="2" t="n">
        <v>39.11373</v>
      </c>
      <c r="Q32" s="2" t="n">
        <v>-94.51724</v>
      </c>
    </row>
    <row r="33">
      <c r="A33" s="2" t="inlineStr">
        <is>
          <t>KC202562976</t>
        </is>
      </c>
      <c r="B33" s="2" t="inlineStr">
        <is>
          <t>05/10/2025</t>
        </is>
      </c>
      <c r="C33" s="2" t="inlineStr">
        <is>
          <t>16:52</t>
        </is>
      </c>
      <c r="D33" s="2" t="inlineStr">
        <is>
          <t>Stealing - Shoplift</t>
        </is>
      </c>
      <c r="E33" s="2" t="inlineStr">
        <is>
          <t>23C</t>
        </is>
      </c>
      <c r="F33" s="2" t="inlineStr">
        <is>
          <t>111</t>
        </is>
      </c>
      <c r="G33" s="2" t="inlineStr">
        <is>
          <t>NPD</t>
        </is>
      </c>
      <c r="H33" s="2" t="b">
        <v>0</v>
      </c>
      <c r="I33" s="2" t="inlineStr">
        <is>
          <t>WIT</t>
        </is>
      </c>
      <c r="J33" s="2" t="inlineStr">
        <is>
          <t>B</t>
        </is>
      </c>
      <c r="K33" s="2" t="inlineStr">
        <is>
          <t>M</t>
        </is>
      </c>
      <c r="L33" s="2" t="n">
        <v>23</v>
      </c>
      <c r="M33" s="2" t="b">
        <v>0</v>
      </c>
      <c r="N33" s="2" t="inlineStr">
        <is>
          <t>Northeast Bloc</t>
        </is>
      </c>
      <c r="O33" s="2" t="inlineStr">
        <is>
          <t>Kevin Anderson</t>
        </is>
      </c>
      <c r="P33" s="2" t="n">
        <v>39.12024</v>
      </c>
      <c r="Q33" s="2" t="n">
        <v>-94.50387000000001</v>
      </c>
    </row>
    <row r="34">
      <c r="A34" s="2" t="inlineStr">
        <is>
          <t>KC202536680</t>
        </is>
      </c>
      <c r="B34" s="2" t="inlineStr">
        <is>
          <t>11/17/2025</t>
        </is>
      </c>
      <c r="C34" s="2" t="inlineStr">
        <is>
          <t>08:35</t>
        </is>
      </c>
      <c r="D34" s="2" t="inlineStr">
        <is>
          <t>Drug Possession</t>
        </is>
      </c>
      <c r="E34" s="2" t="inlineStr">
        <is>
          <t>35A</t>
        </is>
      </c>
      <c r="F34" s="2" t="inlineStr">
        <is>
          <t>113</t>
        </is>
      </c>
      <c r="G34" s="2" t="inlineStr">
        <is>
          <t>MPD</t>
        </is>
      </c>
      <c r="H34" s="2" t="b">
        <v>0</v>
      </c>
      <c r="I34" s="2" t="inlineStr">
        <is>
          <t>WIT</t>
        </is>
      </c>
      <c r="J34" s="2" t="inlineStr">
        <is>
          <t>B</t>
        </is>
      </c>
      <c r="K34" s="2" t="inlineStr">
        <is>
          <t>M</t>
        </is>
      </c>
      <c r="L34" s="2" t="n">
        <v>19</v>
      </c>
      <c r="M34" s="2" t="b">
        <v>0</v>
      </c>
      <c r="N34" s="2" t="inlineStr">
        <is>
          <t>Northeast Bloc</t>
        </is>
      </c>
      <c r="O34" s="2" t="inlineStr">
        <is>
          <t>Terrence Thomas</t>
        </is>
      </c>
      <c r="P34" s="2" t="n">
        <v>39.1272</v>
      </c>
      <c r="Q34" s="2" t="n">
        <v>-94.51278000000001</v>
      </c>
    </row>
    <row r="35">
      <c r="A35" s="2" t="inlineStr">
        <is>
          <t>KC202539451</t>
        </is>
      </c>
      <c r="B35" s="2" t="inlineStr">
        <is>
          <t>10/10/2025</t>
        </is>
      </c>
      <c r="C35" s="2" t="inlineStr">
        <is>
          <t>03:29</t>
        </is>
      </c>
      <c r="D35" s="2" t="inlineStr">
        <is>
          <t>Firearm Offense</t>
        </is>
      </c>
      <c r="E35" s="2" t="inlineStr">
        <is>
          <t>520</t>
        </is>
      </c>
      <c r="F35" s="2" t="inlineStr">
        <is>
          <t>112</t>
        </is>
      </c>
      <c r="G35" s="2" t="inlineStr">
        <is>
          <t>EPD</t>
        </is>
      </c>
      <c r="H35" s="2" t="b">
        <v>0</v>
      </c>
      <c r="I35" s="2" t="inlineStr">
        <is>
          <t>ARR</t>
        </is>
      </c>
      <c r="J35" s="2" t="inlineStr">
        <is>
          <t>U</t>
        </is>
      </c>
      <c r="K35" s="2" t="inlineStr">
        <is>
          <t>F</t>
        </is>
      </c>
      <c r="L35" s="2" t="n">
        <v>21</v>
      </c>
      <c r="M35" s="2" t="b">
        <v>1</v>
      </c>
      <c r="N35" s="2" t="inlineStr">
        <is>
          <t>Ruskin Heights Clique</t>
        </is>
      </c>
      <c r="O35" s="2" t="inlineStr">
        <is>
          <t>Jamal Jones</t>
        </is>
      </c>
      <c r="P35" s="2" t="n">
        <v>38.9516</v>
      </c>
      <c r="Q35" s="2" t="n">
        <v>-94.57513</v>
      </c>
    </row>
    <row r="36">
      <c r="A36" s="2" t="inlineStr">
        <is>
          <t>KC202534983</t>
        </is>
      </c>
      <c r="B36" s="2" t="inlineStr">
        <is>
          <t>10/10/2025</t>
        </is>
      </c>
      <c r="C36" s="2" t="inlineStr">
        <is>
          <t>19:32</t>
        </is>
      </c>
      <c r="D36" s="2" t="inlineStr">
        <is>
          <t>Stolen Auto</t>
        </is>
      </c>
      <c r="E36" s="2" t="inlineStr">
        <is>
          <t>240</t>
        </is>
      </c>
      <c r="F36" s="2" t="inlineStr">
        <is>
          <t>411</t>
        </is>
      </c>
      <c r="G36" s="2" t="inlineStr">
        <is>
          <t>EPD</t>
        </is>
      </c>
      <c r="H36" s="2" t="b">
        <v>1</v>
      </c>
      <c r="I36" s="2" t="inlineStr">
        <is>
          <t>ARR</t>
        </is>
      </c>
      <c r="J36" s="2" t="inlineStr">
        <is>
          <t>A</t>
        </is>
      </c>
      <c r="K36" s="2" t="inlineStr">
        <is>
          <t>F</t>
        </is>
      </c>
      <c r="L36" s="2" t="n">
        <v>40</v>
      </c>
      <c r="M36" s="2" t="b">
        <v>0</v>
      </c>
      <c r="N36" s="2" t="inlineStr">
        <is>
          <t>Ruskin Heights Clique</t>
        </is>
      </c>
      <c r="O36" s="2" t="inlineStr">
        <is>
          <t>Cortez Moore</t>
        </is>
      </c>
      <c r="P36" s="2" t="n">
        <v>38.94841</v>
      </c>
      <c r="Q36" s="2" t="n">
        <v>-94.57434000000001</v>
      </c>
    </row>
    <row r="37">
      <c r="A37" s="2" t="inlineStr">
        <is>
          <t>KC202596499</t>
        </is>
      </c>
      <c r="B37" s="2" t="inlineStr">
        <is>
          <t>06/02/2025</t>
        </is>
      </c>
      <c r="C37" s="2" t="inlineStr">
        <is>
          <t>15:55</t>
        </is>
      </c>
      <c r="D37" s="2" t="inlineStr">
        <is>
          <t>Trespass</t>
        </is>
      </c>
      <c r="E37" s="2" t="inlineStr">
        <is>
          <t>90J</t>
        </is>
      </c>
      <c r="F37" s="2" t="inlineStr">
        <is>
          <t>113</t>
        </is>
      </c>
      <c r="G37" s="2" t="inlineStr">
        <is>
          <t>SPD</t>
        </is>
      </c>
      <c r="H37" s="2" t="b">
        <v>0</v>
      </c>
      <c r="I37" s="2" t="inlineStr">
        <is>
          <t>ARR</t>
        </is>
      </c>
      <c r="J37" s="2" t="inlineStr">
        <is>
          <t>H</t>
        </is>
      </c>
      <c r="K37" s="2" t="inlineStr">
        <is>
          <t>F</t>
        </is>
      </c>
      <c r="L37" s="2" t="n">
        <v>53</v>
      </c>
      <c r="M37" s="2" t="b">
        <v>0</v>
      </c>
      <c r="N37" s="2" t="inlineStr">
        <is>
          <t>Ruskin Heights Clique</t>
        </is>
      </c>
      <c r="O37" s="2" t="inlineStr">
        <is>
          <t>Jamal Jones</t>
        </is>
      </c>
      <c r="P37" s="2" t="n">
        <v>38.95066</v>
      </c>
      <c r="Q37" s="2" t="n">
        <v>-94.56261000000001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5" customWidth="1" min="1" max="1"/>
    <col width="40" customWidth="1" min="2" max="2"/>
    <col width="12.1" customWidth="1" min="3" max="3"/>
    <col width="12.1" customWidth="1" min="4" max="4"/>
    <col width="20.9" customWidth="1" min="5" max="5"/>
    <col width="10" customWidth="1" min="6" max="6"/>
  </cols>
  <sheetData>
    <row r="1">
      <c r="A1" s="5" t="inlineStr">
        <is>
          <t>KCPD Crew Network Summary</t>
        </is>
      </c>
    </row>
    <row r="2"/>
    <row r="3">
      <c r="A3" s="1" t="inlineStr">
        <is>
          <t>Crew</t>
        </is>
      </c>
      <c r="B3" s="1" t="inlineStr">
        <is>
          <t># Members</t>
        </is>
      </c>
      <c r="C3" s="1" t="inlineStr">
        <is>
          <t># Incidents</t>
        </is>
      </c>
      <c r="D3" s="1" t="inlineStr">
        <is>
          <t># Conflicts</t>
        </is>
      </c>
      <c r="E3" s="1" t="inlineStr">
        <is>
          <t>Network</t>
        </is>
      </c>
      <c r="F3" s="1" t="inlineStr">
        <is>
          <t>Crew ID</t>
        </is>
      </c>
    </row>
    <row r="4">
      <c r="A4" s="2" t="inlineStr">
        <is>
          <t>Prospect Hill Boys</t>
        </is>
      </c>
      <c r="B4" s="2">
        <f>COUNTIF(Individuals!C:C,"Prospect Hill Boys")</f>
        <v/>
      </c>
      <c r="C4" s="2" t="n">
        <v>3</v>
      </c>
      <c r="D4" s="2" t="n">
        <v>3</v>
      </c>
      <c r="E4" s="2" t="inlineStr">
        <is>
          <t>Prospect Initiative</t>
        </is>
      </c>
      <c r="F4" s="2" t="n">
        <v>39871</v>
      </c>
    </row>
    <row r="5">
      <c r="A5" s="2" t="inlineStr">
        <is>
          <t>East Paseo Set</t>
        </is>
      </c>
      <c r="B5" s="2">
        <f>COUNTIF(Individuals!C:C,"East Paseo Set")</f>
        <v/>
      </c>
      <c r="C5" s="2" t="n">
        <v>3</v>
      </c>
      <c r="D5" s="2" t="n">
        <v>11</v>
      </c>
      <c r="E5" s="2" t="inlineStr">
        <is>
          <t>GVI KC</t>
        </is>
      </c>
      <c r="F5" s="2" t="n">
        <v>82512</v>
      </c>
    </row>
    <row r="6">
      <c r="A6" s="2" t="inlineStr">
        <is>
          <t>Westside Locos</t>
        </is>
      </c>
      <c r="B6" s="2">
        <f>COUNTIF(Individuals!C:C,"Westside Locos")</f>
        <v/>
      </c>
      <c r="C6" s="2" t="n">
        <v>6</v>
      </c>
      <c r="D6" s="2" t="n">
        <v>1</v>
      </c>
      <c r="E6" s="2" t="inlineStr">
        <is>
          <t>GVI KC</t>
        </is>
      </c>
      <c r="F6" s="2" t="n">
        <v>41571</v>
      </c>
    </row>
    <row r="7">
      <c r="A7" s="2" t="inlineStr">
        <is>
          <t>Troost Ave Crew</t>
        </is>
      </c>
      <c r="B7" s="2">
        <f>COUNTIF(Individuals!C:C,"Troost Ave Crew")</f>
        <v/>
      </c>
      <c r="C7" s="2" t="n">
        <v>5</v>
      </c>
      <c r="D7" s="2" t="n">
        <v>1</v>
      </c>
      <c r="E7" s="2" t="inlineStr">
        <is>
          <t>Blue Hills Outreach</t>
        </is>
      </c>
      <c r="F7" s="2" t="n">
        <v>17100</v>
      </c>
    </row>
    <row r="8">
      <c r="A8" s="2" t="inlineStr">
        <is>
          <t>Blue Hills Network</t>
        </is>
      </c>
      <c r="B8" s="2">
        <f>COUNTIF(Individuals!C:C,"Blue Hills Network")</f>
        <v/>
      </c>
      <c r="C8" s="2" t="n">
        <v>6</v>
      </c>
      <c r="D8" s="2" t="n">
        <v>12</v>
      </c>
      <c r="E8" s="2" t="inlineStr">
        <is>
          <t>Blue Hills Outreach</t>
        </is>
      </c>
      <c r="F8" s="2" t="n">
        <v>59672</v>
      </c>
    </row>
    <row r="9">
      <c r="A9" s="2" t="inlineStr">
        <is>
          <t>Swope Park Riders</t>
        </is>
      </c>
      <c r="B9" s="2">
        <f>COUNTIF(Individuals!C:C,"Swope Park Riders")</f>
        <v/>
      </c>
      <c r="C9" s="2" t="n">
        <v>3</v>
      </c>
      <c r="D9" s="2" t="n">
        <v>8</v>
      </c>
      <c r="E9" s="2" t="inlineStr">
        <is>
          <t>REENTRY KC</t>
        </is>
      </c>
      <c r="F9" s="2" t="n">
        <v>58434</v>
      </c>
    </row>
    <row r="10">
      <c r="A10" s="2" t="inlineStr">
        <is>
          <t>Northeast Bloc</t>
        </is>
      </c>
      <c r="B10" s="2">
        <f>COUNTIF(Individuals!C:C,"Northeast Bloc")</f>
        <v/>
      </c>
      <c r="C10" s="2" t="n">
        <v>7</v>
      </c>
      <c r="D10" s="2" t="n">
        <v>6</v>
      </c>
      <c r="E10" s="2" t="inlineStr">
        <is>
          <t>Prospect Initiative</t>
        </is>
      </c>
      <c r="F10" s="2" t="n">
        <v>23473</v>
      </c>
    </row>
    <row r="11">
      <c r="A11" s="2" t="inlineStr">
        <is>
          <t>Ruskin Heights Clique</t>
        </is>
      </c>
      <c r="B11" s="2">
        <f>COUNTIF(Individuals!C:C,"Ruskin Heights Clique")</f>
        <v/>
      </c>
      <c r="C11" s="2" t="n">
        <v>3</v>
      </c>
      <c r="D11" s="2" t="n">
        <v>6</v>
      </c>
      <c r="E11" s="2" t="inlineStr">
        <is>
          <t>Prospect Initiative</t>
        </is>
      </c>
      <c r="F11" s="2" t="n">
        <v>85574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2026-04-09T13:17:17Z</dcterms:created>
  <dcterms:modified xmlns:dcterms="http://purl.org/dc/terms/" xmlns:xsi="http://www.w3.org/2001/XMLSchema-instance" xsi:type="dcterms:W3CDTF">2026-04-09T13:17:17Z</dcterms:modified>
</cp:coreProperties>
</file>